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ькулятор" sheetId="1" state="visible" r:id="rId1"/>
    <sheet xmlns:r="http://schemas.openxmlformats.org/officeDocument/2006/relationships" name="Как пользоватьс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F6B7A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D2430"/>
      </patternFill>
    </fill>
    <fill>
      <patternFill patternType="solid">
        <fgColor rgb="00FFF6D6"/>
      </patternFill>
    </fill>
    <fill>
      <patternFill patternType="solid">
        <fgColor rgb="00E9EDF2"/>
      </patternFill>
    </fill>
  </fills>
  <borders count="2">
    <border>
      <left/>
      <right/>
      <top/>
      <bottom/>
      <diagonal/>
    </border>
    <border>
      <left style="thin">
        <color rgb="00D4DAE2"/>
      </left>
      <right style="thin">
        <color rgb="00D4DAE2"/>
      </right>
      <top style="thin">
        <color rgb="00D4DAE2"/>
      </top>
      <bottom style="thin">
        <color rgb="00D4DA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9" fontId="4" fillId="4" borderId="1" pivotButton="0" quotePrefix="0" xfId="0"/>
    <xf numFmtId="0" fontId="4" fillId="0" borderId="0" pivotButton="0" quotePrefix="0" xfId="0"/>
    <xf numFmtId="9" fontId="0" fillId="3" borderId="1" pivotButton="0" quotePrefix="0" xfId="0"/>
    <xf numFmtId="164" fontId="5" fillId="0" borderId="1" pivotButton="0" quotePrefix="0" xfId="0"/>
    <xf numFmtId="3" fontId="0" fillId="0" borderId="1" pivotButton="0" quotePrefix="0" xfId="0"/>
    <xf numFmtId="3" fontId="4" fillId="4" borderId="1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2" customWidth="1" min="9" max="9"/>
  </cols>
  <sheetData>
    <row r="1">
      <c r="A1" s="1" t="inlineStr">
        <is>
          <t>Калькулятор реальной вместимости склада: паспорт против факта</t>
        </is>
      </c>
    </row>
    <row r="2">
      <c r="A2" s="2" t="inlineStr">
        <is>
          <t>Жёлтые ячейки — ввод. Остальное считается само. Пример заполнен условными цифрами — замените своими.</t>
        </is>
      </c>
    </row>
    <row r="3"/>
    <row r="4" ht="34" customHeight="1">
      <c r="A4" s="3" t="inlineStr">
        <is>
          <t>Зона</t>
        </is>
      </c>
      <c r="B4" s="3" t="inlineStr">
        <is>
          <t>Рядов</t>
        </is>
      </c>
      <c r="C4" s="3" t="inlineStr">
        <is>
          <t>Мест на ярус в ряду</t>
        </is>
      </c>
      <c r="D4" s="3" t="inlineStr">
        <is>
          <t>Ярусов по паспорту</t>
        </is>
      </c>
      <c r="E4" s="3" t="inlineStr">
        <is>
          <t>Ярусов по факту</t>
        </is>
      </c>
      <c r="F4" s="3" t="inlineStr">
        <is>
          <t>По паспорту, п/м</t>
        </is>
      </c>
      <c r="G4" s="3" t="inlineStr">
        <is>
          <t>Реально, п/м</t>
        </is>
      </c>
      <c r="H4" s="3" t="inlineStr">
        <is>
          <t>Разница, п/м</t>
        </is>
      </c>
      <c r="I4" s="3" t="inlineStr">
        <is>
          <t>Разница, %</t>
        </is>
      </c>
    </row>
    <row r="5">
      <c r="A5" s="4" t="inlineStr">
        <is>
          <t>Внутри здания</t>
        </is>
      </c>
      <c r="B5" s="4" t="n">
        <v>10</v>
      </c>
      <c r="C5" s="4" t="n">
        <v>50</v>
      </c>
      <c r="D5" s="4" t="n">
        <v>4</v>
      </c>
      <c r="E5" s="4" t="n">
        <v>4</v>
      </c>
      <c r="F5" s="13">
        <f>IF(B5="","",B5*C5*D5)</f>
        <v/>
      </c>
      <c r="G5" s="13">
        <f>IF(B5="","",B5*C5*E5)</f>
        <v/>
      </c>
      <c r="H5" s="13">
        <f>IF(B5="","",G5-F5)</f>
        <v/>
      </c>
      <c r="I5" s="6">
        <f>IF(OR(B5="",F5=0),"",H5/F5)</f>
        <v/>
      </c>
    </row>
    <row r="6">
      <c r="A6" s="4" t="inlineStr">
        <is>
          <t>Уличная площадка</t>
        </is>
      </c>
      <c r="B6" s="4" t="n">
        <v>26</v>
      </c>
      <c r="C6" s="4" t="n">
        <v>50</v>
      </c>
      <c r="D6" s="4" t="n">
        <v>4</v>
      </c>
      <c r="E6" s="4" t="n">
        <v>3</v>
      </c>
      <c r="F6" s="13">
        <f>IF(B6="","",B6*C6*D6)</f>
        <v/>
      </c>
      <c r="G6" s="13">
        <f>IF(B6="","",B6*C6*E6)</f>
        <v/>
      </c>
      <c r="H6" s="13">
        <f>IF(B6="","",G6-F6)</f>
        <v/>
      </c>
      <c r="I6" s="6">
        <f>IF(OR(B6="",F6=0),"",H6/F6)</f>
        <v/>
      </c>
    </row>
    <row r="7">
      <c r="A7" s="4" t="n"/>
      <c r="B7" s="4" t="n"/>
      <c r="C7" s="4" t="n"/>
      <c r="D7" s="4" t="n"/>
      <c r="E7" s="4" t="n"/>
      <c r="F7" s="13">
        <f>IF(B7="","",B7*C7*D7)</f>
        <v/>
      </c>
      <c r="G7" s="13">
        <f>IF(B7="","",B7*C7*E7)</f>
        <v/>
      </c>
      <c r="H7" s="13">
        <f>IF(B7="","",G7-F7)</f>
        <v/>
      </c>
      <c r="I7" s="6">
        <f>IF(OR(B7="",F7=0),"",H7/F7)</f>
        <v/>
      </c>
    </row>
    <row r="8">
      <c r="A8" s="4" t="n"/>
      <c r="B8" s="4" t="n"/>
      <c r="C8" s="4" t="n"/>
      <c r="D8" s="4" t="n"/>
      <c r="E8" s="4" t="n"/>
      <c r="F8" s="13">
        <f>IF(B8="","",B8*C8*D8)</f>
        <v/>
      </c>
      <c r="G8" s="13">
        <f>IF(B8="","",B8*C8*E8)</f>
        <v/>
      </c>
      <c r="H8" s="13">
        <f>IF(B8="","",G8-F8)</f>
        <v/>
      </c>
      <c r="I8" s="6">
        <f>IF(OR(B8="",F8=0),"",H8/F8)</f>
        <v/>
      </c>
    </row>
    <row r="9">
      <c r="A9" s="4" t="n"/>
      <c r="B9" s="4" t="n"/>
      <c r="C9" s="4" t="n"/>
      <c r="D9" s="4" t="n"/>
      <c r="E9" s="4" t="n"/>
      <c r="F9" s="13">
        <f>IF(B9="","",B9*C9*D9)</f>
        <v/>
      </c>
      <c r="G9" s="13">
        <f>IF(B9="","",B9*C9*E9)</f>
        <v/>
      </c>
      <c r="H9" s="13">
        <f>IF(B9="","",G9-F9)</f>
        <v/>
      </c>
      <c r="I9" s="6">
        <f>IF(OR(B9="",F9=0),"",H9/F9)</f>
        <v/>
      </c>
    </row>
    <row r="10">
      <c r="A10" s="4" t="n"/>
      <c r="B10" s="4" t="n"/>
      <c r="C10" s="4" t="n"/>
      <c r="D10" s="4" t="n"/>
      <c r="E10" s="4" t="n"/>
      <c r="F10" s="13">
        <f>IF(B10="","",B10*C10*D10)</f>
        <v/>
      </c>
      <c r="G10" s="13">
        <f>IF(B10="","",B10*C10*E10)</f>
        <v/>
      </c>
      <c r="H10" s="13">
        <f>IF(B10="","",G10-F10)</f>
        <v/>
      </c>
      <c r="I10" s="6">
        <f>IF(OR(B10="",F10=0),"",H10/F10)</f>
        <v/>
      </c>
    </row>
    <row r="11">
      <c r="A11" s="7" t="inlineStr">
        <is>
          <t>Итого</t>
        </is>
      </c>
      <c r="B11" s="7" t="n"/>
      <c r="C11" s="7" t="n"/>
      <c r="D11" s="7" t="n"/>
      <c r="E11" s="7" t="n"/>
      <c r="F11" s="14">
        <f>SUM(F5:F10)</f>
        <v/>
      </c>
      <c r="G11" s="14">
        <f>SUM(G5:G10)</f>
        <v/>
      </c>
      <c r="H11" s="14">
        <f>SUM(H5:H10)</f>
        <v/>
      </c>
      <c r="I11" s="9">
        <f>IF(F11=0,"",H11/F11)</f>
        <v/>
      </c>
    </row>
    <row r="12"/>
    <row r="13">
      <c r="A13" s="10" t="inlineStr">
        <is>
          <t>Поправка на неликвид, пересорт и неудобные к размещению позиции, %</t>
        </is>
      </c>
      <c r="G13" s="11" t="n">
        <v>0.1</v>
      </c>
    </row>
    <row r="14">
      <c r="A14" s="10" t="inlineStr">
        <is>
          <t>Свободно для планирования в моменте, п/м</t>
        </is>
      </c>
      <c r="G14" s="15">
        <f>ROUND(G11*(1-G13),0)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Как пользоваться калькулятором</t>
        </is>
      </c>
    </row>
    <row r="2">
      <c r="A2" t="inlineStr">
        <is>
          <t>1. Разбейте склад на зоны, где разное число ярусов: внутри здания, уличная площадка, мезонин, зона длинномеров.</t>
        </is>
      </c>
    </row>
    <row r="3">
      <c r="A3" t="inlineStr">
        <is>
          <t>2. По каждой зоне посчитайте ряды и места на один ярус в ряду по факту разметки пола, а не по проекту.</t>
        </is>
      </c>
    </row>
    <row r="4">
      <c r="A4" t="inlineStr">
        <is>
          <t>3. Ярусы по паспорту — из документа на объект. Ярусы по факту — сколько реально ставят с учётом ветра, техники, требований к фиксации.</t>
        </is>
      </c>
    </row>
    <row r="5">
      <c r="A5" t="inlineStr">
        <is>
          <t>4. Поправка в ячейке G13 — доля мест, которая всегда занята неликвидом, пересортом или неудобными позициями. 10% — стартовая оценка, уточните по своему складу.</t>
        </is>
      </c>
    </row>
    <row r="6">
      <c r="A6" t="inlineStr">
        <is>
          <t>5. Цифру «Свободно для планирования» используйте при расчёте сезонного завоза вместо паспортной.</t>
        </is>
      </c>
    </row>
    <row r="7"/>
    <row r="8">
      <c r="A8" t="inlineStr">
        <is>
          <t>Ограничения: расчёт разовый. Перестановка стеллажей или новая техника меняют цифру — пересчитайте заново.</t>
        </is>
      </c>
    </row>
    <row r="9">
      <c r="A9" t="inlineStr">
        <is>
          <t>Источник метода: статья «Официальный объём склада на бумаге — на 1300 паллетомест больше, чем можно реально использовать», vc.ru, канал t.me/ii_na_skladah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2026-10-03T12:52:13Z</dcterms:created>
  <dcterms:modified xmlns:dcterms="http://purl.org/dc/terms/" xmlns:xsi="http://www.w3.org/2001/XMLSchema-instance" xsi:type="dcterms:W3CDTF">2026-10-03T12:52:34Z</dcterms:modified>
</cp:coreProperties>
</file>