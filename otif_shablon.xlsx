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аказы" sheetId="1" state="visible" r:id="rId1"/>
    <sheet xmlns:r="http://schemas.openxmlformats.org/officeDocument/2006/relationships" name="Итог"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6">
    <font>
      <name val="Calibri"/>
      <family val="2"/>
      <color theme="1"/>
      <sz val="11"/>
      <scheme val="minor"/>
    </font>
    <font>
      <b val="1"/>
      <sz val="13"/>
    </font>
    <font>
      <i val="1"/>
      <color rgb="005F6B7A"/>
    </font>
    <font>
      <b val="1"/>
      <color rgb="00FFFFFF"/>
    </font>
    <font>
      <b val="1"/>
      <sz val="14"/>
    </font>
    <font>
      <b val="1"/>
    </font>
  </fonts>
  <fills count="4">
    <fill>
      <patternFill/>
    </fill>
    <fill>
      <patternFill patternType="gray125"/>
    </fill>
    <fill>
      <patternFill patternType="solid">
        <fgColor rgb="001D2430"/>
      </patternFill>
    </fill>
    <fill>
      <patternFill patternType="solid">
        <fgColor rgb="00FFF6D6"/>
      </patternFill>
    </fill>
  </fills>
  <borders count="2">
    <border>
      <left/>
      <right/>
      <top/>
      <bottom/>
      <diagonal/>
    </border>
    <border>
      <left style="thin">
        <color rgb="00D4DAE2"/>
      </left>
      <right style="thin">
        <color rgb="00D4DAE2"/>
      </right>
      <top style="thin">
        <color rgb="00D4DAE2"/>
      </top>
      <bottom style="thin">
        <color rgb="00D4DAE2"/>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pivotButton="0" quotePrefix="0" xfId="0"/>
    <xf numFmtId="165" fontId="0" fillId="3" borderId="1" pivotButton="0" quotePrefix="0" xfId="0"/>
    <xf numFmtId="0" fontId="0" fillId="0" borderId="1" pivotButton="0" quotePrefix="0" xfId="0"/>
    <xf numFmtId="0" fontId="4" fillId="0" borderId="0" pivotButton="0" quotePrefix="0" xfId="0"/>
    <xf numFmtId="166"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4"/>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2" customWidth="1" min="5" max="5"/>
    <col width="12" customWidth="1" min="6" max="6"/>
    <col width="16" customWidth="1" min="7" max="7"/>
    <col width="30" customWidth="1" min="8" max="8"/>
    <col width="9" customWidth="1" min="9" max="9"/>
    <col width="11" customWidth="1" min="10" max="10"/>
    <col width="12" customWidth="1" min="11" max="11"/>
    <col width="8" customWidth="1" min="12" max="12"/>
  </cols>
  <sheetData>
    <row r="1">
      <c r="A1" s="1" t="inlineStr">
        <is>
          <t>OTIF по всем каналам: заказ засчитывается, только если он доставлен полностью, в срок и без возврата по вине склада</t>
        </is>
      </c>
    </row>
    <row r="2">
      <c r="A2" s="2" t="inlineStr">
        <is>
          <t>Жёлтые столбцы — из выгрузок (учётная система, статусы доставки, возвраты, корректировки склада). Серые считаются сами. Пример заполнен условными данными.</t>
        </is>
      </c>
    </row>
    <row r="4" ht="36" customHeight="1">
      <c r="A4" s="3" t="inlineStr">
        <is>
          <t>№ заказа</t>
        </is>
      </c>
      <c r="B4" s="3" t="inlineStr">
        <is>
          <t>Канал</t>
        </is>
      </c>
      <c r="C4" s="3" t="inlineStr">
        <is>
          <t>Дата обещания</t>
        </is>
      </c>
      <c r="D4" s="3" t="inlineStr">
        <is>
          <t>Дата доставки</t>
        </is>
      </c>
      <c r="E4" s="3" t="inlineStr">
        <is>
          <t>Заказано, шт</t>
        </is>
      </c>
      <c r="F4" s="3" t="inlineStr">
        <is>
          <t>Отгружено, шт</t>
        </is>
      </c>
      <c r="G4" s="3" t="inlineStr">
        <is>
          <t>Возврат по вине склада (да/нет)</t>
        </is>
      </c>
      <c r="H4" s="3" t="inlineStr">
        <is>
          <t>Причина срыва (если есть)</t>
        </is>
      </c>
      <c r="I4" s="3" t="inlineStr">
        <is>
          <t>В срок</t>
        </is>
      </c>
      <c r="J4" s="3" t="inlineStr">
        <is>
          <t>Полностью</t>
        </is>
      </c>
      <c r="K4" s="3" t="inlineStr">
        <is>
          <t>Без возврата</t>
        </is>
      </c>
      <c r="L4" s="3" t="inlineStr">
        <is>
          <t>OTIF</t>
        </is>
      </c>
    </row>
    <row r="5">
      <c r="A5" s="4" t="inlineStr">
        <is>
          <t>1001</t>
        </is>
      </c>
      <c r="B5" s="4" t="inlineStr">
        <is>
          <t>онлайн</t>
        </is>
      </c>
      <c r="C5" s="5" t="n">
        <v>46266</v>
      </c>
      <c r="D5" s="5" t="n">
        <v>46266</v>
      </c>
      <c r="E5" s="4" t="n">
        <v>5</v>
      </c>
      <c r="F5" s="4" t="n">
        <v>5</v>
      </c>
      <c r="G5" s="4" t="inlineStr">
        <is>
          <t>нет</t>
        </is>
      </c>
      <c r="H5" s="4" t="inlineStr"/>
      <c r="I5" s="6">
        <f>IF(A5="","",IF(D5&lt;=C5,1,0))</f>
        <v/>
      </c>
      <c r="J5" s="6">
        <f>IF(A5="","",IF(F5&gt;=E5,1,0))</f>
        <v/>
      </c>
      <c r="K5" s="6">
        <f>IF(A5="","",IF(G5="да",0,1))</f>
        <v/>
      </c>
      <c r="L5" s="6">
        <f>IF(A5="","",I5*J5*K5)</f>
        <v/>
      </c>
    </row>
    <row r="6">
      <c r="A6" s="4" t="inlineStr">
        <is>
          <t>1002</t>
        </is>
      </c>
      <c r="B6" s="4" t="inlineStr">
        <is>
          <t>офлайн</t>
        </is>
      </c>
      <c r="C6" s="5" t="n">
        <v>46266</v>
      </c>
      <c r="D6" s="5" t="n">
        <v>46267</v>
      </c>
      <c r="E6" s="4" t="n">
        <v>3</v>
      </c>
      <c r="F6" s="4" t="n">
        <v>2</v>
      </c>
      <c r="G6" s="4" t="inlineStr">
        <is>
          <t>нет</t>
        </is>
      </c>
      <c r="H6" s="4" t="inlineStr">
        <is>
          <t>офлайн: товар забронирован онлайн</t>
        </is>
      </c>
      <c r="I6" s="6">
        <f>IF(A6="","",IF(D6&lt;=C6,1,0))</f>
        <v/>
      </c>
      <c r="J6" s="6">
        <f>IF(A6="","",IF(F6&gt;=E6,1,0))</f>
        <v/>
      </c>
      <c r="K6" s="6">
        <f>IF(A6="","",IF(G6="да",0,1))</f>
        <v/>
      </c>
      <c r="L6" s="6">
        <f>IF(A6="","",I6*J6*K6)</f>
        <v/>
      </c>
    </row>
    <row r="7">
      <c r="A7" s="4" t="inlineStr">
        <is>
          <t>1003</t>
        </is>
      </c>
      <c r="B7" s="4" t="inlineStr">
        <is>
          <t>онлайн</t>
        </is>
      </c>
      <c r="C7" s="5" t="n">
        <v>46267</v>
      </c>
      <c r="D7" s="5" t="n">
        <v>46269</v>
      </c>
      <c r="E7" s="4" t="n">
        <v>8</v>
      </c>
      <c r="F7" s="4" t="n">
        <v>8</v>
      </c>
      <c r="G7" s="4" t="inlineStr">
        <is>
          <t>нет</t>
        </is>
      </c>
      <c r="H7" s="4" t="inlineStr">
        <is>
          <t>транспорт: задержка партнёра</t>
        </is>
      </c>
      <c r="I7" s="6">
        <f>IF(A7="","",IF(D7&lt;=C7,1,0))</f>
        <v/>
      </c>
      <c r="J7" s="6">
        <f>IF(A7="","",IF(F7&gt;=E7,1,0))</f>
        <v/>
      </c>
      <c r="K7" s="6">
        <f>IF(A7="","",IF(G7="да",0,1))</f>
        <v/>
      </c>
      <c r="L7" s="6">
        <f>IF(A7="","",I7*J7*K7)</f>
        <v/>
      </c>
    </row>
    <row r="8">
      <c r="A8" s="4" t="inlineStr">
        <is>
          <t>1004</t>
        </is>
      </c>
      <c r="B8" s="4" t="inlineStr">
        <is>
          <t>онлайн</t>
        </is>
      </c>
      <c r="C8" s="5" t="n">
        <v>46267</v>
      </c>
      <c r="D8" s="5" t="n">
        <v>46267</v>
      </c>
      <c r="E8" s="4" t="n">
        <v>2</v>
      </c>
      <c r="F8" s="4" t="n">
        <v>2</v>
      </c>
      <c r="G8" s="4" t="inlineStr">
        <is>
          <t>да</t>
        </is>
      </c>
      <c r="H8" s="4" t="inlineStr">
        <is>
          <t>сборка: пересорт</t>
        </is>
      </c>
      <c r="I8" s="6">
        <f>IF(A8="","",IF(D8&lt;=C8,1,0))</f>
        <v/>
      </c>
      <c r="J8" s="6">
        <f>IF(A8="","",IF(F8&gt;=E8,1,0))</f>
        <v/>
      </c>
      <c r="K8" s="6">
        <f>IF(A8="","",IF(G8="да",0,1))</f>
        <v/>
      </c>
      <c r="L8" s="6">
        <f>IF(A8="","",I8*J8*K8)</f>
        <v/>
      </c>
    </row>
    <row r="9">
      <c r="A9" s="4" t="inlineStr">
        <is>
          <t>1005</t>
        </is>
      </c>
      <c r="B9" s="4" t="inlineStr">
        <is>
          <t>офлайн</t>
        </is>
      </c>
      <c r="C9" s="5" t="n">
        <v>46268</v>
      </c>
      <c r="D9" s="5" t="n">
        <v>46268</v>
      </c>
      <c r="E9" s="4" t="n">
        <v>4</v>
      </c>
      <c r="F9" s="4" t="n">
        <v>4</v>
      </c>
      <c r="G9" s="4" t="inlineStr">
        <is>
          <t>нет</t>
        </is>
      </c>
      <c r="H9" s="4" t="inlineStr"/>
      <c r="I9" s="6">
        <f>IF(A9="","",IF(D9&lt;=C9,1,0))</f>
        <v/>
      </c>
      <c r="J9" s="6">
        <f>IF(A9="","",IF(F9&gt;=E9,1,0))</f>
        <v/>
      </c>
      <c r="K9" s="6">
        <f>IF(A9="","",IF(G9="да",0,1))</f>
        <v/>
      </c>
      <c r="L9" s="6">
        <f>IF(A9="","",I9*J9*K9)</f>
        <v/>
      </c>
    </row>
    <row r="10">
      <c r="A10" s="4" t="inlineStr">
        <is>
          <t>1006</t>
        </is>
      </c>
      <c r="B10" s="4" t="inlineStr">
        <is>
          <t>онлайн</t>
        </is>
      </c>
      <c r="C10" s="5" t="n">
        <v>46268</v>
      </c>
      <c r="D10" s="5" t="n">
        <v>46268</v>
      </c>
      <c r="E10" s="4" t="n">
        <v>6</v>
      </c>
      <c r="F10" s="4" t="n">
        <v>6</v>
      </c>
      <c r="G10" s="4" t="inlineStr">
        <is>
          <t>нет</t>
        </is>
      </c>
      <c r="H10" s="4" t="inlineStr"/>
      <c r="I10" s="6">
        <f>IF(A10="","",IF(D10&lt;=C10,1,0))</f>
        <v/>
      </c>
      <c r="J10" s="6">
        <f>IF(A10="","",IF(F10&gt;=E10,1,0))</f>
        <v/>
      </c>
      <c r="K10" s="6">
        <f>IF(A10="","",IF(G10="да",0,1))</f>
        <v/>
      </c>
      <c r="L10" s="6">
        <f>IF(A10="","",I10*J10*K10)</f>
        <v/>
      </c>
    </row>
    <row r="11">
      <c r="A11" s="4" t="n"/>
      <c r="B11" s="4" t="n"/>
      <c r="C11" s="5" t="n"/>
      <c r="D11" s="5" t="n"/>
      <c r="E11" s="4" t="n"/>
      <c r="F11" s="4" t="n"/>
      <c r="G11" s="4" t="n"/>
      <c r="H11" s="4" t="n"/>
      <c r="I11" s="6">
        <f>IF(A11="","",IF(D11&lt;=C11,1,0))</f>
        <v/>
      </c>
      <c r="J11" s="6">
        <f>IF(A11="","",IF(F11&gt;=E11,1,0))</f>
        <v/>
      </c>
      <c r="K11" s="6">
        <f>IF(A11="","",IF(G11="да",0,1))</f>
        <v/>
      </c>
      <c r="L11" s="6">
        <f>IF(A11="","",I11*J11*K11)</f>
        <v/>
      </c>
    </row>
    <row r="12">
      <c r="A12" s="4" t="n"/>
      <c r="B12" s="4" t="n"/>
      <c r="C12" s="5" t="n"/>
      <c r="D12" s="5" t="n"/>
      <c r="E12" s="4" t="n"/>
      <c r="F12" s="4" t="n"/>
      <c r="G12" s="4" t="n"/>
      <c r="H12" s="4" t="n"/>
      <c r="I12" s="6">
        <f>IF(A12="","",IF(D12&lt;=C12,1,0))</f>
        <v/>
      </c>
      <c r="J12" s="6">
        <f>IF(A12="","",IF(F12&gt;=E12,1,0))</f>
        <v/>
      </c>
      <c r="K12" s="6">
        <f>IF(A12="","",IF(G12="да",0,1))</f>
        <v/>
      </c>
      <c r="L12" s="6">
        <f>IF(A12="","",I12*J12*K12)</f>
        <v/>
      </c>
    </row>
    <row r="13">
      <c r="A13" s="4" t="n"/>
      <c r="B13" s="4" t="n"/>
      <c r="C13" s="5" t="n"/>
      <c r="D13" s="5" t="n"/>
      <c r="E13" s="4" t="n"/>
      <c r="F13" s="4" t="n"/>
      <c r="G13" s="4" t="n"/>
      <c r="H13" s="4" t="n"/>
      <c r="I13" s="6">
        <f>IF(A13="","",IF(D13&lt;=C13,1,0))</f>
        <v/>
      </c>
      <c r="J13" s="6">
        <f>IF(A13="","",IF(F13&gt;=E13,1,0))</f>
        <v/>
      </c>
      <c r="K13" s="6">
        <f>IF(A13="","",IF(G13="да",0,1))</f>
        <v/>
      </c>
      <c r="L13" s="6">
        <f>IF(A13="","",I13*J13*K13)</f>
        <v/>
      </c>
    </row>
    <row r="14">
      <c r="A14" s="4" t="n"/>
      <c r="B14" s="4" t="n"/>
      <c r="C14" s="5" t="n"/>
      <c r="D14" s="5" t="n"/>
      <c r="E14" s="4" t="n"/>
      <c r="F14" s="4" t="n"/>
      <c r="G14" s="4" t="n"/>
      <c r="H14" s="4" t="n"/>
      <c r="I14" s="6">
        <f>IF(A14="","",IF(D14&lt;=C14,1,0))</f>
        <v/>
      </c>
      <c r="J14" s="6">
        <f>IF(A14="","",IF(F14&gt;=E14,1,0))</f>
        <v/>
      </c>
      <c r="K14" s="6">
        <f>IF(A14="","",IF(G14="да",0,1))</f>
        <v/>
      </c>
      <c r="L14" s="6">
        <f>IF(A14="","",I14*J14*K14)</f>
        <v/>
      </c>
    </row>
    <row r="15">
      <c r="A15" s="4" t="n"/>
      <c r="B15" s="4" t="n"/>
      <c r="C15" s="5" t="n"/>
      <c r="D15" s="5" t="n"/>
      <c r="E15" s="4" t="n"/>
      <c r="F15" s="4" t="n"/>
      <c r="G15" s="4" t="n"/>
      <c r="H15" s="4" t="n"/>
      <c r="I15" s="6">
        <f>IF(A15="","",IF(D15&lt;=C15,1,0))</f>
        <v/>
      </c>
      <c r="J15" s="6">
        <f>IF(A15="","",IF(F15&gt;=E15,1,0))</f>
        <v/>
      </c>
      <c r="K15" s="6">
        <f>IF(A15="","",IF(G15="да",0,1))</f>
        <v/>
      </c>
      <c r="L15" s="6">
        <f>IF(A15="","",I15*J15*K15)</f>
        <v/>
      </c>
    </row>
    <row r="16">
      <c r="A16" s="4" t="n"/>
      <c r="B16" s="4" t="n"/>
      <c r="C16" s="5" t="n"/>
      <c r="D16" s="5" t="n"/>
      <c r="E16" s="4" t="n"/>
      <c r="F16" s="4" t="n"/>
      <c r="G16" s="4" t="n"/>
      <c r="H16" s="4" t="n"/>
      <c r="I16" s="6">
        <f>IF(A16="","",IF(D16&lt;=C16,1,0))</f>
        <v/>
      </c>
      <c r="J16" s="6">
        <f>IF(A16="","",IF(F16&gt;=E16,1,0))</f>
        <v/>
      </c>
      <c r="K16" s="6">
        <f>IF(A16="","",IF(G16="да",0,1))</f>
        <v/>
      </c>
      <c r="L16" s="6">
        <f>IF(A16="","",I16*J16*K16)</f>
        <v/>
      </c>
    </row>
    <row r="17">
      <c r="A17" s="4" t="n"/>
      <c r="B17" s="4" t="n"/>
      <c r="C17" s="5" t="n"/>
      <c r="D17" s="5" t="n"/>
      <c r="E17" s="4" t="n"/>
      <c r="F17" s="4" t="n"/>
      <c r="G17" s="4" t="n"/>
      <c r="H17" s="4" t="n"/>
      <c r="I17" s="6">
        <f>IF(A17="","",IF(D17&lt;=C17,1,0))</f>
        <v/>
      </c>
      <c r="J17" s="6">
        <f>IF(A17="","",IF(F17&gt;=E17,1,0))</f>
        <v/>
      </c>
      <c r="K17" s="6">
        <f>IF(A17="","",IF(G17="да",0,1))</f>
        <v/>
      </c>
      <c r="L17" s="6">
        <f>IF(A17="","",I17*J17*K17)</f>
        <v/>
      </c>
    </row>
    <row r="18">
      <c r="A18" s="4" t="n"/>
      <c r="B18" s="4" t="n"/>
      <c r="C18" s="5" t="n"/>
      <c r="D18" s="5" t="n"/>
      <c r="E18" s="4" t="n"/>
      <c r="F18" s="4" t="n"/>
      <c r="G18" s="4" t="n"/>
      <c r="H18" s="4" t="n"/>
      <c r="I18" s="6">
        <f>IF(A18="","",IF(D18&lt;=C18,1,0))</f>
        <v/>
      </c>
      <c r="J18" s="6">
        <f>IF(A18="","",IF(F18&gt;=E18,1,0))</f>
        <v/>
      </c>
      <c r="K18" s="6">
        <f>IF(A18="","",IF(G18="да",0,1))</f>
        <v/>
      </c>
      <c r="L18" s="6">
        <f>IF(A18="","",I18*J18*K18)</f>
        <v/>
      </c>
    </row>
    <row r="19">
      <c r="A19" s="4" t="n"/>
      <c r="B19" s="4" t="n"/>
      <c r="C19" s="5" t="n"/>
      <c r="D19" s="5" t="n"/>
      <c r="E19" s="4" t="n"/>
      <c r="F19" s="4" t="n"/>
      <c r="G19" s="4" t="n"/>
      <c r="H19" s="4" t="n"/>
      <c r="I19" s="6">
        <f>IF(A19="","",IF(D19&lt;=C19,1,0))</f>
        <v/>
      </c>
      <c r="J19" s="6">
        <f>IF(A19="","",IF(F19&gt;=E19,1,0))</f>
        <v/>
      </c>
      <c r="K19" s="6">
        <f>IF(A19="","",IF(G19="да",0,1))</f>
        <v/>
      </c>
      <c r="L19" s="6">
        <f>IF(A19="","",I19*J19*K19)</f>
        <v/>
      </c>
    </row>
    <row r="20">
      <c r="A20" s="4" t="n"/>
      <c r="B20" s="4" t="n"/>
      <c r="C20" s="5" t="n"/>
      <c r="D20" s="5" t="n"/>
      <c r="E20" s="4" t="n"/>
      <c r="F20" s="4" t="n"/>
      <c r="G20" s="4" t="n"/>
      <c r="H20" s="4" t="n"/>
      <c r="I20" s="6">
        <f>IF(A20="","",IF(D20&lt;=C20,1,0))</f>
        <v/>
      </c>
      <c r="J20" s="6">
        <f>IF(A20="","",IF(F20&gt;=E20,1,0))</f>
        <v/>
      </c>
      <c r="K20" s="6">
        <f>IF(A20="","",IF(G20="да",0,1))</f>
        <v/>
      </c>
      <c r="L20" s="6">
        <f>IF(A20="","",I20*J20*K20)</f>
        <v/>
      </c>
    </row>
    <row r="21">
      <c r="A21" s="4" t="n"/>
      <c r="B21" s="4" t="n"/>
      <c r="C21" s="5" t="n"/>
      <c r="D21" s="5" t="n"/>
      <c r="E21" s="4" t="n"/>
      <c r="F21" s="4" t="n"/>
      <c r="G21" s="4" t="n"/>
      <c r="H21" s="4" t="n"/>
      <c r="I21" s="6">
        <f>IF(A21="","",IF(D21&lt;=C21,1,0))</f>
        <v/>
      </c>
      <c r="J21" s="6">
        <f>IF(A21="","",IF(F21&gt;=E21,1,0))</f>
        <v/>
      </c>
      <c r="K21" s="6">
        <f>IF(A21="","",IF(G21="да",0,1))</f>
        <v/>
      </c>
      <c r="L21" s="6">
        <f>IF(A21="","",I21*J21*K21)</f>
        <v/>
      </c>
    </row>
    <row r="22">
      <c r="A22" s="4" t="n"/>
      <c r="B22" s="4" t="n"/>
      <c r="C22" s="5" t="n"/>
      <c r="D22" s="5" t="n"/>
      <c r="E22" s="4" t="n"/>
      <c r="F22" s="4" t="n"/>
      <c r="G22" s="4" t="n"/>
      <c r="H22" s="4" t="n"/>
      <c r="I22" s="6">
        <f>IF(A22="","",IF(D22&lt;=C22,1,0))</f>
        <v/>
      </c>
      <c r="J22" s="6">
        <f>IF(A22="","",IF(F22&gt;=E22,1,0))</f>
        <v/>
      </c>
      <c r="K22" s="6">
        <f>IF(A22="","",IF(G22="да",0,1))</f>
        <v/>
      </c>
      <c r="L22" s="6">
        <f>IF(A22="","",I22*J22*K22)</f>
        <v/>
      </c>
    </row>
    <row r="23">
      <c r="A23" s="4" t="n"/>
      <c r="B23" s="4" t="n"/>
      <c r="C23" s="5" t="n"/>
      <c r="D23" s="5" t="n"/>
      <c r="E23" s="4" t="n"/>
      <c r="F23" s="4" t="n"/>
      <c r="G23" s="4" t="n"/>
      <c r="H23" s="4" t="n"/>
      <c r="I23" s="6">
        <f>IF(A23="","",IF(D23&lt;=C23,1,0))</f>
        <v/>
      </c>
      <c r="J23" s="6">
        <f>IF(A23="","",IF(F23&gt;=E23,1,0))</f>
        <v/>
      </c>
      <c r="K23" s="6">
        <f>IF(A23="","",IF(G23="да",0,1))</f>
        <v/>
      </c>
      <c r="L23" s="6">
        <f>IF(A23="","",I23*J23*K23)</f>
        <v/>
      </c>
    </row>
    <row r="24">
      <c r="A24" s="4" t="n"/>
      <c r="B24" s="4" t="n"/>
      <c r="C24" s="5" t="n"/>
      <c r="D24" s="5" t="n"/>
      <c r="E24" s="4" t="n"/>
      <c r="F24" s="4" t="n"/>
      <c r="G24" s="4" t="n"/>
      <c r="H24" s="4" t="n"/>
      <c r="I24" s="6">
        <f>IF(A24="","",IF(D24&lt;=C24,1,0))</f>
        <v/>
      </c>
      <c r="J24" s="6">
        <f>IF(A24="","",IF(F24&gt;=E24,1,0))</f>
        <v/>
      </c>
      <c r="K24" s="6">
        <f>IF(A24="","",IF(G24="да",0,1))</f>
        <v/>
      </c>
      <c r="L24" s="6">
        <f>IF(A24="","",I24*J24*K24)</f>
        <v/>
      </c>
    </row>
    <row r="25">
      <c r="A25" s="4" t="n"/>
      <c r="B25" s="4" t="n"/>
      <c r="C25" s="5" t="n"/>
      <c r="D25" s="5" t="n"/>
      <c r="E25" s="4" t="n"/>
      <c r="F25" s="4" t="n"/>
      <c r="G25" s="4" t="n"/>
      <c r="H25" s="4" t="n"/>
      <c r="I25" s="6">
        <f>IF(A25="","",IF(D25&lt;=C25,1,0))</f>
        <v/>
      </c>
      <c r="J25" s="6">
        <f>IF(A25="","",IF(F25&gt;=E25,1,0))</f>
        <v/>
      </c>
      <c r="K25" s="6">
        <f>IF(A25="","",IF(G25="да",0,1))</f>
        <v/>
      </c>
      <c r="L25" s="6">
        <f>IF(A25="","",I25*J25*K25)</f>
        <v/>
      </c>
    </row>
    <row r="26">
      <c r="A26" s="4" t="n"/>
      <c r="B26" s="4" t="n"/>
      <c r="C26" s="5" t="n"/>
      <c r="D26" s="5" t="n"/>
      <c r="E26" s="4" t="n"/>
      <c r="F26" s="4" t="n"/>
      <c r="G26" s="4" t="n"/>
      <c r="H26" s="4" t="n"/>
      <c r="I26" s="6">
        <f>IF(A26="","",IF(D26&lt;=C26,1,0))</f>
        <v/>
      </c>
      <c r="J26" s="6">
        <f>IF(A26="","",IF(F26&gt;=E26,1,0))</f>
        <v/>
      </c>
      <c r="K26" s="6">
        <f>IF(A26="","",IF(G26="да",0,1))</f>
        <v/>
      </c>
      <c r="L26" s="6">
        <f>IF(A26="","",I26*J26*K26)</f>
        <v/>
      </c>
    </row>
    <row r="27">
      <c r="A27" s="4" t="n"/>
      <c r="B27" s="4" t="n"/>
      <c r="C27" s="5" t="n"/>
      <c r="D27" s="5" t="n"/>
      <c r="E27" s="4" t="n"/>
      <c r="F27" s="4" t="n"/>
      <c r="G27" s="4" t="n"/>
      <c r="H27" s="4" t="n"/>
      <c r="I27" s="6">
        <f>IF(A27="","",IF(D27&lt;=C27,1,0))</f>
        <v/>
      </c>
      <c r="J27" s="6">
        <f>IF(A27="","",IF(F27&gt;=E27,1,0))</f>
        <v/>
      </c>
      <c r="K27" s="6">
        <f>IF(A27="","",IF(G27="да",0,1))</f>
        <v/>
      </c>
      <c r="L27" s="6">
        <f>IF(A27="","",I27*J27*K27)</f>
        <v/>
      </c>
    </row>
    <row r="28">
      <c r="A28" s="4" t="n"/>
      <c r="B28" s="4" t="n"/>
      <c r="C28" s="5" t="n"/>
      <c r="D28" s="5" t="n"/>
      <c r="E28" s="4" t="n"/>
      <c r="F28" s="4" t="n"/>
      <c r="G28" s="4" t="n"/>
      <c r="H28" s="4" t="n"/>
      <c r="I28" s="6">
        <f>IF(A28="","",IF(D28&lt;=C28,1,0))</f>
        <v/>
      </c>
      <c r="J28" s="6">
        <f>IF(A28="","",IF(F28&gt;=E28,1,0))</f>
        <v/>
      </c>
      <c r="K28" s="6">
        <f>IF(A28="","",IF(G28="да",0,1))</f>
        <v/>
      </c>
      <c r="L28" s="6">
        <f>IF(A28="","",I28*J28*K28)</f>
        <v/>
      </c>
    </row>
    <row r="29">
      <c r="A29" s="4" t="n"/>
      <c r="B29" s="4" t="n"/>
      <c r="C29" s="5" t="n"/>
      <c r="D29" s="5" t="n"/>
      <c r="E29" s="4" t="n"/>
      <c r="F29" s="4" t="n"/>
      <c r="G29" s="4" t="n"/>
      <c r="H29" s="4" t="n"/>
      <c r="I29" s="6">
        <f>IF(A29="","",IF(D29&lt;=C29,1,0))</f>
        <v/>
      </c>
      <c r="J29" s="6">
        <f>IF(A29="","",IF(F29&gt;=E29,1,0))</f>
        <v/>
      </c>
      <c r="K29" s="6">
        <f>IF(A29="","",IF(G29="да",0,1))</f>
        <v/>
      </c>
      <c r="L29" s="6">
        <f>IF(A29="","",I29*J29*K29)</f>
        <v/>
      </c>
    </row>
    <row r="30">
      <c r="A30" s="4" t="n"/>
      <c r="B30" s="4" t="n"/>
      <c r="C30" s="5" t="n"/>
      <c r="D30" s="5" t="n"/>
      <c r="E30" s="4" t="n"/>
      <c r="F30" s="4" t="n"/>
      <c r="G30" s="4" t="n"/>
      <c r="H30" s="4" t="n"/>
      <c r="I30" s="6">
        <f>IF(A30="","",IF(D30&lt;=C30,1,0))</f>
        <v/>
      </c>
      <c r="J30" s="6">
        <f>IF(A30="","",IF(F30&gt;=E30,1,0))</f>
        <v/>
      </c>
      <c r="K30" s="6">
        <f>IF(A30="","",IF(G30="да",0,1))</f>
        <v/>
      </c>
      <c r="L30" s="6">
        <f>IF(A30="","",I30*J30*K30)</f>
        <v/>
      </c>
    </row>
    <row r="31">
      <c r="A31" s="4" t="n"/>
      <c r="B31" s="4" t="n"/>
      <c r="C31" s="5" t="n"/>
      <c r="D31" s="5" t="n"/>
      <c r="E31" s="4" t="n"/>
      <c r="F31" s="4" t="n"/>
      <c r="G31" s="4" t="n"/>
      <c r="H31" s="4" t="n"/>
      <c r="I31" s="6">
        <f>IF(A31="","",IF(D31&lt;=C31,1,0))</f>
        <v/>
      </c>
      <c r="J31" s="6">
        <f>IF(A31="","",IF(F31&gt;=E31,1,0))</f>
        <v/>
      </c>
      <c r="K31" s="6">
        <f>IF(A31="","",IF(G31="да",0,1))</f>
        <v/>
      </c>
      <c r="L31" s="6">
        <f>IF(A31="","",I31*J31*K31)</f>
        <v/>
      </c>
    </row>
    <row r="32">
      <c r="A32" s="4" t="n"/>
      <c r="B32" s="4" t="n"/>
      <c r="C32" s="5" t="n"/>
      <c r="D32" s="5" t="n"/>
      <c r="E32" s="4" t="n"/>
      <c r="F32" s="4" t="n"/>
      <c r="G32" s="4" t="n"/>
      <c r="H32" s="4" t="n"/>
      <c r="I32" s="6">
        <f>IF(A32="","",IF(D32&lt;=C32,1,0))</f>
        <v/>
      </c>
      <c r="J32" s="6">
        <f>IF(A32="","",IF(F32&gt;=E32,1,0))</f>
        <v/>
      </c>
      <c r="K32" s="6">
        <f>IF(A32="","",IF(G32="да",0,1))</f>
        <v/>
      </c>
      <c r="L32" s="6">
        <f>IF(A32="","",I32*J32*K32)</f>
        <v/>
      </c>
    </row>
    <row r="33">
      <c r="A33" s="4" t="n"/>
      <c r="B33" s="4" t="n"/>
      <c r="C33" s="5" t="n"/>
      <c r="D33" s="5" t="n"/>
      <c r="E33" s="4" t="n"/>
      <c r="F33" s="4" t="n"/>
      <c r="G33" s="4" t="n"/>
      <c r="H33" s="4" t="n"/>
      <c r="I33" s="6">
        <f>IF(A33="","",IF(D33&lt;=C33,1,0))</f>
        <v/>
      </c>
      <c r="J33" s="6">
        <f>IF(A33="","",IF(F33&gt;=E33,1,0))</f>
        <v/>
      </c>
      <c r="K33" s="6">
        <f>IF(A33="","",IF(G33="да",0,1))</f>
        <v/>
      </c>
      <c r="L33" s="6">
        <f>IF(A33="","",I33*J33*K33)</f>
        <v/>
      </c>
    </row>
    <row r="34">
      <c r="A34" s="4" t="n"/>
      <c r="B34" s="4" t="n"/>
      <c r="C34" s="5" t="n"/>
      <c r="D34" s="5" t="n"/>
      <c r="E34" s="4" t="n"/>
      <c r="F34" s="4" t="n"/>
      <c r="G34" s="4" t="n"/>
      <c r="H34" s="4" t="n"/>
      <c r="I34" s="6">
        <f>IF(A34="","",IF(D34&lt;=C34,1,0))</f>
        <v/>
      </c>
      <c r="J34" s="6">
        <f>IF(A34="","",IF(F34&gt;=E34,1,0))</f>
        <v/>
      </c>
      <c r="K34" s="6">
        <f>IF(A34="","",IF(G34="да",0,1))</f>
        <v/>
      </c>
      <c r="L34" s="6">
        <f>IF(A34="","",I34*J34*K34)</f>
        <v/>
      </c>
    </row>
    <row r="35">
      <c r="A35" s="4" t="n"/>
      <c r="B35" s="4" t="n"/>
      <c r="C35" s="5" t="n"/>
      <c r="D35" s="5" t="n"/>
      <c r="E35" s="4" t="n"/>
      <c r="F35" s="4" t="n"/>
      <c r="G35" s="4" t="n"/>
      <c r="H35" s="4" t="n"/>
      <c r="I35" s="6">
        <f>IF(A35="","",IF(D35&lt;=C35,1,0))</f>
        <v/>
      </c>
      <c r="J35" s="6">
        <f>IF(A35="","",IF(F35&gt;=E35,1,0))</f>
        <v/>
      </c>
      <c r="K35" s="6">
        <f>IF(A35="","",IF(G35="да",0,1))</f>
        <v/>
      </c>
      <c r="L35" s="6">
        <f>IF(A35="","",I35*J35*K35)</f>
        <v/>
      </c>
    </row>
    <row r="36">
      <c r="A36" s="4" t="n"/>
      <c r="B36" s="4" t="n"/>
      <c r="C36" s="5" t="n"/>
      <c r="D36" s="5" t="n"/>
      <c r="E36" s="4" t="n"/>
      <c r="F36" s="4" t="n"/>
      <c r="G36" s="4" t="n"/>
      <c r="H36" s="4" t="n"/>
      <c r="I36" s="6">
        <f>IF(A36="","",IF(D36&lt;=C36,1,0))</f>
        <v/>
      </c>
      <c r="J36" s="6">
        <f>IF(A36="","",IF(F36&gt;=E36,1,0))</f>
        <v/>
      </c>
      <c r="K36" s="6">
        <f>IF(A36="","",IF(G36="да",0,1))</f>
        <v/>
      </c>
      <c r="L36" s="6">
        <f>IF(A36="","",I36*J36*K36)</f>
        <v/>
      </c>
    </row>
    <row r="37">
      <c r="A37" s="4" t="n"/>
      <c r="B37" s="4" t="n"/>
      <c r="C37" s="5" t="n"/>
      <c r="D37" s="5" t="n"/>
      <c r="E37" s="4" t="n"/>
      <c r="F37" s="4" t="n"/>
      <c r="G37" s="4" t="n"/>
      <c r="H37" s="4" t="n"/>
      <c r="I37" s="6">
        <f>IF(A37="","",IF(D37&lt;=C37,1,0))</f>
        <v/>
      </c>
      <c r="J37" s="6">
        <f>IF(A37="","",IF(F37&gt;=E37,1,0))</f>
        <v/>
      </c>
      <c r="K37" s="6">
        <f>IF(A37="","",IF(G37="да",0,1))</f>
        <v/>
      </c>
      <c r="L37" s="6">
        <f>IF(A37="","",I37*J37*K37)</f>
        <v/>
      </c>
    </row>
    <row r="38">
      <c r="A38" s="4" t="n"/>
      <c r="B38" s="4" t="n"/>
      <c r="C38" s="5" t="n"/>
      <c r="D38" s="5" t="n"/>
      <c r="E38" s="4" t="n"/>
      <c r="F38" s="4" t="n"/>
      <c r="G38" s="4" t="n"/>
      <c r="H38" s="4" t="n"/>
      <c r="I38" s="6">
        <f>IF(A38="","",IF(D38&lt;=C38,1,0))</f>
        <v/>
      </c>
      <c r="J38" s="6">
        <f>IF(A38="","",IF(F38&gt;=E38,1,0))</f>
        <v/>
      </c>
      <c r="K38" s="6">
        <f>IF(A38="","",IF(G38="да",0,1))</f>
        <v/>
      </c>
      <c r="L38" s="6">
        <f>IF(A38="","",I38*J38*K38)</f>
        <v/>
      </c>
    </row>
    <row r="39">
      <c r="A39" s="4" t="n"/>
      <c r="B39" s="4" t="n"/>
      <c r="C39" s="5" t="n"/>
      <c r="D39" s="5" t="n"/>
      <c r="E39" s="4" t="n"/>
      <c r="F39" s="4" t="n"/>
      <c r="G39" s="4" t="n"/>
      <c r="H39" s="4" t="n"/>
      <c r="I39" s="6">
        <f>IF(A39="","",IF(D39&lt;=C39,1,0))</f>
        <v/>
      </c>
      <c r="J39" s="6">
        <f>IF(A39="","",IF(F39&gt;=E39,1,0))</f>
        <v/>
      </c>
      <c r="K39" s="6">
        <f>IF(A39="","",IF(G39="да",0,1))</f>
        <v/>
      </c>
      <c r="L39" s="6">
        <f>IF(A39="","",I39*J39*K39)</f>
        <v/>
      </c>
    </row>
    <row r="40">
      <c r="A40" s="4" t="n"/>
      <c r="B40" s="4" t="n"/>
      <c r="C40" s="5" t="n"/>
      <c r="D40" s="5" t="n"/>
      <c r="E40" s="4" t="n"/>
      <c r="F40" s="4" t="n"/>
      <c r="G40" s="4" t="n"/>
      <c r="H40" s="4" t="n"/>
      <c r="I40" s="6">
        <f>IF(A40="","",IF(D40&lt;=C40,1,0))</f>
        <v/>
      </c>
      <c r="J40" s="6">
        <f>IF(A40="","",IF(F40&gt;=E40,1,0))</f>
        <v/>
      </c>
      <c r="K40" s="6">
        <f>IF(A40="","",IF(G40="да",0,1))</f>
        <v/>
      </c>
      <c r="L40" s="6">
        <f>IF(A40="","",I40*J40*K40)</f>
        <v/>
      </c>
    </row>
    <row r="41">
      <c r="A41" s="4" t="n"/>
      <c r="B41" s="4" t="n"/>
      <c r="C41" s="5" t="n"/>
      <c r="D41" s="5" t="n"/>
      <c r="E41" s="4" t="n"/>
      <c r="F41" s="4" t="n"/>
      <c r="G41" s="4" t="n"/>
      <c r="H41" s="4" t="n"/>
      <c r="I41" s="6">
        <f>IF(A41="","",IF(D41&lt;=C41,1,0))</f>
        <v/>
      </c>
      <c r="J41" s="6">
        <f>IF(A41="","",IF(F41&gt;=E41,1,0))</f>
        <v/>
      </c>
      <c r="K41" s="6">
        <f>IF(A41="","",IF(G41="да",0,1))</f>
        <v/>
      </c>
      <c r="L41" s="6">
        <f>IF(A41="","",I41*J41*K41)</f>
        <v/>
      </c>
    </row>
    <row r="42">
      <c r="A42" s="4" t="n"/>
      <c r="B42" s="4" t="n"/>
      <c r="C42" s="5" t="n"/>
      <c r="D42" s="5" t="n"/>
      <c r="E42" s="4" t="n"/>
      <c r="F42" s="4" t="n"/>
      <c r="G42" s="4" t="n"/>
      <c r="H42" s="4" t="n"/>
      <c r="I42" s="6">
        <f>IF(A42="","",IF(D42&lt;=C42,1,0))</f>
        <v/>
      </c>
      <c r="J42" s="6">
        <f>IF(A42="","",IF(F42&gt;=E42,1,0))</f>
        <v/>
      </c>
      <c r="K42" s="6">
        <f>IF(A42="","",IF(G42="да",0,1))</f>
        <v/>
      </c>
      <c r="L42" s="6">
        <f>IF(A42="","",I42*J42*K42)</f>
        <v/>
      </c>
    </row>
    <row r="43">
      <c r="A43" s="4" t="n"/>
      <c r="B43" s="4" t="n"/>
      <c r="C43" s="5" t="n"/>
      <c r="D43" s="5" t="n"/>
      <c r="E43" s="4" t="n"/>
      <c r="F43" s="4" t="n"/>
      <c r="G43" s="4" t="n"/>
      <c r="H43" s="4" t="n"/>
      <c r="I43" s="6">
        <f>IF(A43="","",IF(D43&lt;=C43,1,0))</f>
        <v/>
      </c>
      <c r="J43" s="6">
        <f>IF(A43="","",IF(F43&gt;=E43,1,0))</f>
        <v/>
      </c>
      <c r="K43" s="6">
        <f>IF(A43="","",IF(G43="да",0,1))</f>
        <v/>
      </c>
      <c r="L43" s="6">
        <f>IF(A43="","",I43*J43*K43)</f>
        <v/>
      </c>
    </row>
    <row r="44">
      <c r="A44" s="4" t="n"/>
      <c r="B44" s="4" t="n"/>
      <c r="C44" s="5" t="n"/>
      <c r="D44" s="5" t="n"/>
      <c r="E44" s="4" t="n"/>
      <c r="F44" s="4" t="n"/>
      <c r="G44" s="4" t="n"/>
      <c r="H44" s="4" t="n"/>
      <c r="I44" s="6">
        <f>IF(A44="","",IF(D44&lt;=C44,1,0))</f>
        <v/>
      </c>
      <c r="J44" s="6">
        <f>IF(A44="","",IF(F44&gt;=E44,1,0))</f>
        <v/>
      </c>
      <c r="K44" s="6">
        <f>IF(A44="","",IF(G44="да",0,1))</f>
        <v/>
      </c>
      <c r="L44" s="6">
        <f>IF(A44="","",I44*J44*K44)</f>
        <v/>
      </c>
    </row>
    <row r="45">
      <c r="A45" s="4" t="n"/>
      <c r="B45" s="4" t="n"/>
      <c r="C45" s="5" t="n"/>
      <c r="D45" s="5" t="n"/>
      <c r="E45" s="4" t="n"/>
      <c r="F45" s="4" t="n"/>
      <c r="G45" s="4" t="n"/>
      <c r="H45" s="4" t="n"/>
      <c r="I45" s="6">
        <f>IF(A45="","",IF(D45&lt;=C45,1,0))</f>
        <v/>
      </c>
      <c r="J45" s="6">
        <f>IF(A45="","",IF(F45&gt;=E45,1,0))</f>
        <v/>
      </c>
      <c r="K45" s="6">
        <f>IF(A45="","",IF(G45="да",0,1))</f>
        <v/>
      </c>
      <c r="L45" s="6">
        <f>IF(A45="","",I45*J45*K45)</f>
        <v/>
      </c>
    </row>
    <row r="46">
      <c r="A46" s="4" t="n"/>
      <c r="B46" s="4" t="n"/>
      <c r="C46" s="5" t="n"/>
      <c r="D46" s="5" t="n"/>
      <c r="E46" s="4" t="n"/>
      <c r="F46" s="4" t="n"/>
      <c r="G46" s="4" t="n"/>
      <c r="H46" s="4" t="n"/>
      <c r="I46" s="6">
        <f>IF(A46="","",IF(D46&lt;=C46,1,0))</f>
        <v/>
      </c>
      <c r="J46" s="6">
        <f>IF(A46="","",IF(F46&gt;=E46,1,0))</f>
        <v/>
      </c>
      <c r="K46" s="6">
        <f>IF(A46="","",IF(G46="да",0,1))</f>
        <v/>
      </c>
      <c r="L46" s="6">
        <f>IF(A46="","",I46*J46*K46)</f>
        <v/>
      </c>
    </row>
    <row r="47">
      <c r="A47" s="4" t="n"/>
      <c r="B47" s="4" t="n"/>
      <c r="C47" s="5" t="n"/>
      <c r="D47" s="5" t="n"/>
      <c r="E47" s="4" t="n"/>
      <c r="F47" s="4" t="n"/>
      <c r="G47" s="4" t="n"/>
      <c r="H47" s="4" t="n"/>
      <c r="I47" s="6">
        <f>IF(A47="","",IF(D47&lt;=C47,1,0))</f>
        <v/>
      </c>
      <c r="J47" s="6">
        <f>IF(A47="","",IF(F47&gt;=E47,1,0))</f>
        <v/>
      </c>
      <c r="K47" s="6">
        <f>IF(A47="","",IF(G47="да",0,1))</f>
        <v/>
      </c>
      <c r="L47" s="6">
        <f>IF(A47="","",I47*J47*K47)</f>
        <v/>
      </c>
    </row>
    <row r="48">
      <c r="A48" s="4" t="n"/>
      <c r="B48" s="4" t="n"/>
      <c r="C48" s="5" t="n"/>
      <c r="D48" s="5" t="n"/>
      <c r="E48" s="4" t="n"/>
      <c r="F48" s="4" t="n"/>
      <c r="G48" s="4" t="n"/>
      <c r="H48" s="4" t="n"/>
      <c r="I48" s="6">
        <f>IF(A48="","",IF(D48&lt;=C48,1,0))</f>
        <v/>
      </c>
      <c r="J48" s="6">
        <f>IF(A48="","",IF(F48&gt;=E48,1,0))</f>
        <v/>
      </c>
      <c r="K48" s="6">
        <f>IF(A48="","",IF(G48="да",0,1))</f>
        <v/>
      </c>
      <c r="L48" s="6">
        <f>IF(A48="","",I48*J48*K48)</f>
        <v/>
      </c>
    </row>
    <row r="49">
      <c r="A49" s="4" t="n"/>
      <c r="B49" s="4" t="n"/>
      <c r="C49" s="5" t="n"/>
      <c r="D49" s="5" t="n"/>
      <c r="E49" s="4" t="n"/>
      <c r="F49" s="4" t="n"/>
      <c r="G49" s="4" t="n"/>
      <c r="H49" s="4" t="n"/>
      <c r="I49" s="6">
        <f>IF(A49="","",IF(D49&lt;=C49,1,0))</f>
        <v/>
      </c>
      <c r="J49" s="6">
        <f>IF(A49="","",IF(F49&gt;=E49,1,0))</f>
        <v/>
      </c>
      <c r="K49" s="6">
        <f>IF(A49="","",IF(G49="да",0,1))</f>
        <v/>
      </c>
      <c r="L49" s="6">
        <f>IF(A49="","",I49*J49*K49)</f>
        <v/>
      </c>
    </row>
    <row r="50">
      <c r="A50" s="4" t="n"/>
      <c r="B50" s="4" t="n"/>
      <c r="C50" s="5" t="n"/>
      <c r="D50" s="5" t="n"/>
      <c r="E50" s="4" t="n"/>
      <c r="F50" s="4" t="n"/>
      <c r="G50" s="4" t="n"/>
      <c r="H50" s="4" t="n"/>
      <c r="I50" s="6">
        <f>IF(A50="","",IF(D50&lt;=C50,1,0))</f>
        <v/>
      </c>
      <c r="J50" s="6">
        <f>IF(A50="","",IF(F50&gt;=E50,1,0))</f>
        <v/>
      </c>
      <c r="K50" s="6">
        <f>IF(A50="","",IF(G50="да",0,1))</f>
        <v/>
      </c>
      <c r="L50" s="6">
        <f>IF(A50="","",I50*J50*K50)</f>
        <v/>
      </c>
    </row>
    <row r="51">
      <c r="A51" s="4" t="n"/>
      <c r="B51" s="4" t="n"/>
      <c r="C51" s="5" t="n"/>
      <c r="D51" s="5" t="n"/>
      <c r="E51" s="4" t="n"/>
      <c r="F51" s="4" t="n"/>
      <c r="G51" s="4" t="n"/>
      <c r="H51" s="4" t="n"/>
      <c r="I51" s="6">
        <f>IF(A51="","",IF(D51&lt;=C51,1,0))</f>
        <v/>
      </c>
      <c r="J51" s="6">
        <f>IF(A51="","",IF(F51&gt;=E51,1,0))</f>
        <v/>
      </c>
      <c r="K51" s="6">
        <f>IF(A51="","",IF(G51="да",0,1))</f>
        <v/>
      </c>
      <c r="L51" s="6">
        <f>IF(A51="","",I51*J51*K51)</f>
        <v/>
      </c>
    </row>
    <row r="52">
      <c r="A52" s="4" t="n"/>
      <c r="B52" s="4" t="n"/>
      <c r="C52" s="5" t="n"/>
      <c r="D52" s="5" t="n"/>
      <c r="E52" s="4" t="n"/>
      <c r="F52" s="4" t="n"/>
      <c r="G52" s="4" t="n"/>
      <c r="H52" s="4" t="n"/>
      <c r="I52" s="6">
        <f>IF(A52="","",IF(D52&lt;=C52,1,0))</f>
        <v/>
      </c>
      <c r="J52" s="6">
        <f>IF(A52="","",IF(F52&gt;=E52,1,0))</f>
        <v/>
      </c>
      <c r="K52" s="6">
        <f>IF(A52="","",IF(G52="да",0,1))</f>
        <v/>
      </c>
      <c r="L52" s="6">
        <f>IF(A52="","",I52*J52*K52)</f>
        <v/>
      </c>
    </row>
    <row r="53">
      <c r="A53" s="4" t="n"/>
      <c r="B53" s="4" t="n"/>
      <c r="C53" s="5" t="n"/>
      <c r="D53" s="5" t="n"/>
      <c r="E53" s="4" t="n"/>
      <c r="F53" s="4" t="n"/>
      <c r="G53" s="4" t="n"/>
      <c r="H53" s="4" t="n"/>
      <c r="I53" s="6">
        <f>IF(A53="","",IF(D53&lt;=C53,1,0))</f>
        <v/>
      </c>
      <c r="J53" s="6">
        <f>IF(A53="","",IF(F53&gt;=E53,1,0))</f>
        <v/>
      </c>
      <c r="K53" s="6">
        <f>IF(A53="","",IF(G53="да",0,1))</f>
        <v/>
      </c>
      <c r="L53" s="6">
        <f>IF(A53="","",I53*J53*K53)</f>
        <v/>
      </c>
    </row>
    <row r="54">
      <c r="A54" s="4" t="n"/>
      <c r="B54" s="4" t="n"/>
      <c r="C54" s="5" t="n"/>
      <c r="D54" s="5" t="n"/>
      <c r="E54" s="4" t="n"/>
      <c r="F54" s="4" t="n"/>
      <c r="G54" s="4" t="n"/>
      <c r="H54" s="4" t="n"/>
      <c r="I54" s="6">
        <f>IF(A54="","",IF(D54&lt;=C54,1,0))</f>
        <v/>
      </c>
      <c r="J54" s="6">
        <f>IF(A54="","",IF(F54&gt;=E54,1,0))</f>
        <v/>
      </c>
      <c r="K54" s="6">
        <f>IF(A54="","",IF(G54="да",0,1))</f>
        <v/>
      </c>
      <c r="L54" s="6">
        <f>IF(A54="","",I54*J54*K54)</f>
        <v/>
      </c>
    </row>
    <row r="55">
      <c r="A55" s="4" t="n"/>
      <c r="B55" s="4" t="n"/>
      <c r="C55" s="5" t="n"/>
      <c r="D55" s="5" t="n"/>
      <c r="E55" s="4" t="n"/>
      <c r="F55" s="4" t="n"/>
      <c r="G55" s="4" t="n"/>
      <c r="H55" s="4" t="n"/>
      <c r="I55" s="6">
        <f>IF(A55="","",IF(D55&lt;=C55,1,0))</f>
        <v/>
      </c>
      <c r="J55" s="6">
        <f>IF(A55="","",IF(F55&gt;=E55,1,0))</f>
        <v/>
      </c>
      <c r="K55" s="6">
        <f>IF(A55="","",IF(G55="да",0,1))</f>
        <v/>
      </c>
      <c r="L55" s="6">
        <f>IF(A55="","",I55*J55*K55)</f>
        <v/>
      </c>
    </row>
    <row r="56">
      <c r="A56" s="4" t="n"/>
      <c r="B56" s="4" t="n"/>
      <c r="C56" s="5" t="n"/>
      <c r="D56" s="5" t="n"/>
      <c r="E56" s="4" t="n"/>
      <c r="F56" s="4" t="n"/>
      <c r="G56" s="4" t="n"/>
      <c r="H56" s="4" t="n"/>
      <c r="I56" s="6">
        <f>IF(A56="","",IF(D56&lt;=C56,1,0))</f>
        <v/>
      </c>
      <c r="J56" s="6">
        <f>IF(A56="","",IF(F56&gt;=E56,1,0))</f>
        <v/>
      </c>
      <c r="K56" s="6">
        <f>IF(A56="","",IF(G56="да",0,1))</f>
        <v/>
      </c>
      <c r="L56" s="6">
        <f>IF(A56="","",I56*J56*K56)</f>
        <v/>
      </c>
    </row>
    <row r="57">
      <c r="A57" s="4" t="n"/>
      <c r="B57" s="4" t="n"/>
      <c r="C57" s="5" t="n"/>
      <c r="D57" s="5" t="n"/>
      <c r="E57" s="4" t="n"/>
      <c r="F57" s="4" t="n"/>
      <c r="G57" s="4" t="n"/>
      <c r="H57" s="4" t="n"/>
      <c r="I57" s="6">
        <f>IF(A57="","",IF(D57&lt;=C57,1,0))</f>
        <v/>
      </c>
      <c r="J57" s="6">
        <f>IF(A57="","",IF(F57&gt;=E57,1,0))</f>
        <v/>
      </c>
      <c r="K57" s="6">
        <f>IF(A57="","",IF(G57="да",0,1))</f>
        <v/>
      </c>
      <c r="L57" s="6">
        <f>IF(A57="","",I57*J57*K57)</f>
        <v/>
      </c>
    </row>
    <row r="58">
      <c r="A58" s="4" t="n"/>
      <c r="B58" s="4" t="n"/>
      <c r="C58" s="5" t="n"/>
      <c r="D58" s="5" t="n"/>
      <c r="E58" s="4" t="n"/>
      <c r="F58" s="4" t="n"/>
      <c r="G58" s="4" t="n"/>
      <c r="H58" s="4" t="n"/>
      <c r="I58" s="6">
        <f>IF(A58="","",IF(D58&lt;=C58,1,0))</f>
        <v/>
      </c>
      <c r="J58" s="6">
        <f>IF(A58="","",IF(F58&gt;=E58,1,0))</f>
        <v/>
      </c>
      <c r="K58" s="6">
        <f>IF(A58="","",IF(G58="да",0,1))</f>
        <v/>
      </c>
      <c r="L58" s="6">
        <f>IF(A58="","",I58*J58*K58)</f>
        <v/>
      </c>
    </row>
    <row r="59">
      <c r="A59" s="4" t="n"/>
      <c r="B59" s="4" t="n"/>
      <c r="C59" s="5" t="n"/>
      <c r="D59" s="5" t="n"/>
      <c r="E59" s="4" t="n"/>
      <c r="F59" s="4" t="n"/>
      <c r="G59" s="4" t="n"/>
      <c r="H59" s="4" t="n"/>
      <c r="I59" s="6">
        <f>IF(A59="","",IF(D59&lt;=C59,1,0))</f>
        <v/>
      </c>
      <c r="J59" s="6">
        <f>IF(A59="","",IF(F59&gt;=E59,1,0))</f>
        <v/>
      </c>
      <c r="K59" s="6">
        <f>IF(A59="","",IF(G59="да",0,1))</f>
        <v/>
      </c>
      <c r="L59" s="6">
        <f>IF(A59="","",I59*J59*K59)</f>
        <v/>
      </c>
    </row>
    <row r="60">
      <c r="A60" s="4" t="n"/>
      <c r="B60" s="4" t="n"/>
      <c r="C60" s="5" t="n"/>
      <c r="D60" s="5" t="n"/>
      <c r="E60" s="4" t="n"/>
      <c r="F60" s="4" t="n"/>
      <c r="G60" s="4" t="n"/>
      <c r="H60" s="4" t="n"/>
      <c r="I60" s="6">
        <f>IF(A60="","",IF(D60&lt;=C60,1,0))</f>
        <v/>
      </c>
      <c r="J60" s="6">
        <f>IF(A60="","",IF(F60&gt;=E60,1,0))</f>
        <v/>
      </c>
      <c r="K60" s="6">
        <f>IF(A60="","",IF(G60="да",0,1))</f>
        <v/>
      </c>
      <c r="L60" s="6">
        <f>IF(A60="","",I60*J60*K60)</f>
        <v/>
      </c>
    </row>
    <row r="61">
      <c r="A61" s="4" t="n"/>
      <c r="B61" s="4" t="n"/>
      <c r="C61" s="5" t="n"/>
      <c r="D61" s="5" t="n"/>
      <c r="E61" s="4" t="n"/>
      <c r="F61" s="4" t="n"/>
      <c r="G61" s="4" t="n"/>
      <c r="H61" s="4" t="n"/>
      <c r="I61" s="6">
        <f>IF(A61="","",IF(D61&lt;=C61,1,0))</f>
        <v/>
      </c>
      <c r="J61" s="6">
        <f>IF(A61="","",IF(F61&gt;=E61,1,0))</f>
        <v/>
      </c>
      <c r="K61" s="6">
        <f>IF(A61="","",IF(G61="да",0,1))</f>
        <v/>
      </c>
      <c r="L61" s="6">
        <f>IF(A61="","",I61*J61*K61)</f>
        <v/>
      </c>
    </row>
    <row r="62">
      <c r="A62" s="4" t="n"/>
      <c r="B62" s="4" t="n"/>
      <c r="C62" s="5" t="n"/>
      <c r="D62" s="5" t="n"/>
      <c r="E62" s="4" t="n"/>
      <c r="F62" s="4" t="n"/>
      <c r="G62" s="4" t="n"/>
      <c r="H62" s="4" t="n"/>
      <c r="I62" s="6">
        <f>IF(A62="","",IF(D62&lt;=C62,1,0))</f>
        <v/>
      </c>
      <c r="J62" s="6">
        <f>IF(A62="","",IF(F62&gt;=E62,1,0))</f>
        <v/>
      </c>
      <c r="K62" s="6">
        <f>IF(A62="","",IF(G62="да",0,1))</f>
        <v/>
      </c>
      <c r="L62" s="6">
        <f>IF(A62="","",I62*J62*K62)</f>
        <v/>
      </c>
    </row>
    <row r="63">
      <c r="A63" s="4" t="n"/>
      <c r="B63" s="4" t="n"/>
      <c r="C63" s="5" t="n"/>
      <c r="D63" s="5" t="n"/>
      <c r="E63" s="4" t="n"/>
      <c r="F63" s="4" t="n"/>
      <c r="G63" s="4" t="n"/>
      <c r="H63" s="4" t="n"/>
      <c r="I63" s="6">
        <f>IF(A63="","",IF(D63&lt;=C63,1,0))</f>
        <v/>
      </c>
      <c r="J63" s="6">
        <f>IF(A63="","",IF(F63&gt;=E63,1,0))</f>
        <v/>
      </c>
      <c r="K63" s="6">
        <f>IF(A63="","",IF(G63="да",0,1))</f>
        <v/>
      </c>
      <c r="L63" s="6">
        <f>IF(A63="","",I63*J63*K63)</f>
        <v/>
      </c>
    </row>
    <row r="64">
      <c r="A64" s="4" t="n"/>
      <c r="B64" s="4" t="n"/>
      <c r="C64" s="5" t="n"/>
      <c r="D64" s="5" t="n"/>
      <c r="E64" s="4" t="n"/>
      <c r="F64" s="4" t="n"/>
      <c r="G64" s="4" t="n"/>
      <c r="H64" s="4" t="n"/>
      <c r="I64" s="6">
        <f>IF(A64="","",IF(D64&lt;=C64,1,0))</f>
        <v/>
      </c>
      <c r="J64" s="6">
        <f>IF(A64="","",IF(F64&gt;=E64,1,0))</f>
        <v/>
      </c>
      <c r="K64" s="6">
        <f>IF(A64="","",IF(G64="да",0,1))</f>
        <v/>
      </c>
      <c r="L64" s="6">
        <f>IF(A64="","",I64*J64*K64)</f>
        <v/>
      </c>
    </row>
    <row r="65">
      <c r="A65" s="4" t="n"/>
      <c r="B65" s="4" t="n"/>
      <c r="C65" s="5" t="n"/>
      <c r="D65" s="5" t="n"/>
      <c r="E65" s="4" t="n"/>
      <c r="F65" s="4" t="n"/>
      <c r="G65" s="4" t="n"/>
      <c r="H65" s="4" t="n"/>
      <c r="I65" s="6">
        <f>IF(A65="","",IF(D65&lt;=C65,1,0))</f>
        <v/>
      </c>
      <c r="J65" s="6">
        <f>IF(A65="","",IF(F65&gt;=E65,1,0))</f>
        <v/>
      </c>
      <c r="K65" s="6">
        <f>IF(A65="","",IF(G65="да",0,1))</f>
        <v/>
      </c>
      <c r="L65" s="6">
        <f>IF(A65="","",I65*J65*K65)</f>
        <v/>
      </c>
    </row>
    <row r="66">
      <c r="A66" s="4" t="n"/>
      <c r="B66" s="4" t="n"/>
      <c r="C66" s="5" t="n"/>
      <c r="D66" s="5" t="n"/>
      <c r="E66" s="4" t="n"/>
      <c r="F66" s="4" t="n"/>
      <c r="G66" s="4" t="n"/>
      <c r="H66" s="4" t="n"/>
      <c r="I66" s="6">
        <f>IF(A66="","",IF(D66&lt;=C66,1,0))</f>
        <v/>
      </c>
      <c r="J66" s="6">
        <f>IF(A66="","",IF(F66&gt;=E66,1,0))</f>
        <v/>
      </c>
      <c r="K66" s="6">
        <f>IF(A66="","",IF(G66="да",0,1))</f>
        <v/>
      </c>
      <c r="L66" s="6">
        <f>IF(A66="","",I66*J66*K66)</f>
        <v/>
      </c>
    </row>
    <row r="67">
      <c r="A67" s="4" t="n"/>
      <c r="B67" s="4" t="n"/>
      <c r="C67" s="5" t="n"/>
      <c r="D67" s="5" t="n"/>
      <c r="E67" s="4" t="n"/>
      <c r="F67" s="4" t="n"/>
      <c r="G67" s="4" t="n"/>
      <c r="H67" s="4" t="n"/>
      <c r="I67" s="6">
        <f>IF(A67="","",IF(D67&lt;=C67,1,0))</f>
        <v/>
      </c>
      <c r="J67" s="6">
        <f>IF(A67="","",IF(F67&gt;=E67,1,0))</f>
        <v/>
      </c>
      <c r="K67" s="6">
        <f>IF(A67="","",IF(G67="да",0,1))</f>
        <v/>
      </c>
      <c r="L67" s="6">
        <f>IF(A67="","",I67*J67*K67)</f>
        <v/>
      </c>
    </row>
    <row r="68">
      <c r="A68" s="4" t="n"/>
      <c r="B68" s="4" t="n"/>
      <c r="C68" s="5" t="n"/>
      <c r="D68" s="5" t="n"/>
      <c r="E68" s="4" t="n"/>
      <c r="F68" s="4" t="n"/>
      <c r="G68" s="4" t="n"/>
      <c r="H68" s="4" t="n"/>
      <c r="I68" s="6">
        <f>IF(A68="","",IF(D68&lt;=C68,1,0))</f>
        <v/>
      </c>
      <c r="J68" s="6">
        <f>IF(A68="","",IF(F68&gt;=E68,1,0))</f>
        <v/>
      </c>
      <c r="K68" s="6">
        <f>IF(A68="","",IF(G68="да",0,1))</f>
        <v/>
      </c>
      <c r="L68" s="6">
        <f>IF(A68="","",I68*J68*K68)</f>
        <v/>
      </c>
    </row>
    <row r="69">
      <c r="A69" s="4" t="n"/>
      <c r="B69" s="4" t="n"/>
      <c r="C69" s="5" t="n"/>
      <c r="D69" s="5" t="n"/>
      <c r="E69" s="4" t="n"/>
      <c r="F69" s="4" t="n"/>
      <c r="G69" s="4" t="n"/>
      <c r="H69" s="4" t="n"/>
      <c r="I69" s="6">
        <f>IF(A69="","",IF(D69&lt;=C69,1,0))</f>
        <v/>
      </c>
      <c r="J69" s="6">
        <f>IF(A69="","",IF(F69&gt;=E69,1,0))</f>
        <v/>
      </c>
      <c r="K69" s="6">
        <f>IF(A69="","",IF(G69="да",0,1))</f>
        <v/>
      </c>
      <c r="L69" s="6">
        <f>IF(A69="","",I69*J69*K69)</f>
        <v/>
      </c>
    </row>
    <row r="70">
      <c r="A70" s="4" t="n"/>
      <c r="B70" s="4" t="n"/>
      <c r="C70" s="5" t="n"/>
      <c r="D70" s="5" t="n"/>
      <c r="E70" s="4" t="n"/>
      <c r="F70" s="4" t="n"/>
      <c r="G70" s="4" t="n"/>
      <c r="H70" s="4" t="n"/>
      <c r="I70" s="6">
        <f>IF(A70="","",IF(D70&lt;=C70,1,0))</f>
        <v/>
      </c>
      <c r="J70" s="6">
        <f>IF(A70="","",IF(F70&gt;=E70,1,0))</f>
        <v/>
      </c>
      <c r="K70" s="6">
        <f>IF(A70="","",IF(G70="да",0,1))</f>
        <v/>
      </c>
      <c r="L70" s="6">
        <f>IF(A70="","",I70*J70*K70)</f>
        <v/>
      </c>
    </row>
    <row r="71">
      <c r="A71" s="4" t="n"/>
      <c r="B71" s="4" t="n"/>
      <c r="C71" s="5" t="n"/>
      <c r="D71" s="5" t="n"/>
      <c r="E71" s="4" t="n"/>
      <c r="F71" s="4" t="n"/>
      <c r="G71" s="4" t="n"/>
      <c r="H71" s="4" t="n"/>
      <c r="I71" s="6">
        <f>IF(A71="","",IF(D71&lt;=C71,1,0))</f>
        <v/>
      </c>
      <c r="J71" s="6">
        <f>IF(A71="","",IF(F71&gt;=E71,1,0))</f>
        <v/>
      </c>
      <c r="K71" s="6">
        <f>IF(A71="","",IF(G71="да",0,1))</f>
        <v/>
      </c>
      <c r="L71" s="6">
        <f>IF(A71="","",I71*J71*K71)</f>
        <v/>
      </c>
    </row>
    <row r="72">
      <c r="A72" s="4" t="n"/>
      <c r="B72" s="4" t="n"/>
      <c r="C72" s="5" t="n"/>
      <c r="D72" s="5" t="n"/>
      <c r="E72" s="4" t="n"/>
      <c r="F72" s="4" t="n"/>
      <c r="G72" s="4" t="n"/>
      <c r="H72" s="4" t="n"/>
      <c r="I72" s="6">
        <f>IF(A72="","",IF(D72&lt;=C72,1,0))</f>
        <v/>
      </c>
      <c r="J72" s="6">
        <f>IF(A72="","",IF(F72&gt;=E72,1,0))</f>
        <v/>
      </c>
      <c r="K72" s="6">
        <f>IF(A72="","",IF(G72="да",0,1))</f>
        <v/>
      </c>
      <c r="L72" s="6">
        <f>IF(A72="","",I72*J72*K72)</f>
        <v/>
      </c>
    </row>
    <row r="73">
      <c r="A73" s="4" t="n"/>
      <c r="B73" s="4" t="n"/>
      <c r="C73" s="5" t="n"/>
      <c r="D73" s="5" t="n"/>
      <c r="E73" s="4" t="n"/>
      <c r="F73" s="4" t="n"/>
      <c r="G73" s="4" t="n"/>
      <c r="H73" s="4" t="n"/>
      <c r="I73" s="6">
        <f>IF(A73="","",IF(D73&lt;=C73,1,0))</f>
        <v/>
      </c>
      <c r="J73" s="6">
        <f>IF(A73="","",IF(F73&gt;=E73,1,0))</f>
        <v/>
      </c>
      <c r="K73" s="6">
        <f>IF(A73="","",IF(G73="да",0,1))</f>
        <v/>
      </c>
      <c r="L73" s="6">
        <f>IF(A73="","",I73*J73*K73)</f>
        <v/>
      </c>
    </row>
    <row r="74">
      <c r="A74" s="4" t="n"/>
      <c r="B74" s="4" t="n"/>
      <c r="C74" s="5" t="n"/>
      <c r="D74" s="5" t="n"/>
      <c r="E74" s="4" t="n"/>
      <c r="F74" s="4" t="n"/>
      <c r="G74" s="4" t="n"/>
      <c r="H74" s="4" t="n"/>
      <c r="I74" s="6">
        <f>IF(A74="","",IF(D74&lt;=C74,1,0))</f>
        <v/>
      </c>
      <c r="J74" s="6">
        <f>IF(A74="","",IF(F74&gt;=E74,1,0))</f>
        <v/>
      </c>
      <c r="K74" s="6">
        <f>IF(A74="","",IF(G74="да",0,1))</f>
        <v/>
      </c>
      <c r="L74" s="6">
        <f>IF(A74="","",I74*J74*K74)</f>
        <v/>
      </c>
    </row>
    <row r="75">
      <c r="A75" s="4" t="n"/>
      <c r="B75" s="4" t="n"/>
      <c r="C75" s="5" t="n"/>
      <c r="D75" s="5" t="n"/>
      <c r="E75" s="4" t="n"/>
      <c r="F75" s="4" t="n"/>
      <c r="G75" s="4" t="n"/>
      <c r="H75" s="4" t="n"/>
      <c r="I75" s="6">
        <f>IF(A75="","",IF(D75&lt;=C75,1,0))</f>
        <v/>
      </c>
      <c r="J75" s="6">
        <f>IF(A75="","",IF(F75&gt;=E75,1,0))</f>
        <v/>
      </c>
      <c r="K75" s="6">
        <f>IF(A75="","",IF(G75="да",0,1))</f>
        <v/>
      </c>
      <c r="L75" s="6">
        <f>IF(A75="","",I75*J75*K75)</f>
        <v/>
      </c>
    </row>
    <row r="76">
      <c r="A76" s="4" t="n"/>
      <c r="B76" s="4" t="n"/>
      <c r="C76" s="5" t="n"/>
      <c r="D76" s="5" t="n"/>
      <c r="E76" s="4" t="n"/>
      <c r="F76" s="4" t="n"/>
      <c r="G76" s="4" t="n"/>
      <c r="H76" s="4" t="n"/>
      <c r="I76" s="6">
        <f>IF(A76="","",IF(D76&lt;=C76,1,0))</f>
        <v/>
      </c>
      <c r="J76" s="6">
        <f>IF(A76="","",IF(F76&gt;=E76,1,0))</f>
        <v/>
      </c>
      <c r="K76" s="6">
        <f>IF(A76="","",IF(G76="да",0,1))</f>
        <v/>
      </c>
      <c r="L76" s="6">
        <f>IF(A76="","",I76*J76*K76)</f>
        <v/>
      </c>
    </row>
    <row r="77">
      <c r="A77" s="4" t="n"/>
      <c r="B77" s="4" t="n"/>
      <c r="C77" s="5" t="n"/>
      <c r="D77" s="5" t="n"/>
      <c r="E77" s="4" t="n"/>
      <c r="F77" s="4" t="n"/>
      <c r="G77" s="4" t="n"/>
      <c r="H77" s="4" t="n"/>
      <c r="I77" s="6">
        <f>IF(A77="","",IF(D77&lt;=C77,1,0))</f>
        <v/>
      </c>
      <c r="J77" s="6">
        <f>IF(A77="","",IF(F77&gt;=E77,1,0))</f>
        <v/>
      </c>
      <c r="K77" s="6">
        <f>IF(A77="","",IF(G77="да",0,1))</f>
        <v/>
      </c>
      <c r="L77" s="6">
        <f>IF(A77="","",I77*J77*K77)</f>
        <v/>
      </c>
    </row>
    <row r="78">
      <c r="A78" s="4" t="n"/>
      <c r="B78" s="4" t="n"/>
      <c r="C78" s="5" t="n"/>
      <c r="D78" s="5" t="n"/>
      <c r="E78" s="4" t="n"/>
      <c r="F78" s="4" t="n"/>
      <c r="G78" s="4" t="n"/>
      <c r="H78" s="4" t="n"/>
      <c r="I78" s="6">
        <f>IF(A78="","",IF(D78&lt;=C78,1,0))</f>
        <v/>
      </c>
      <c r="J78" s="6">
        <f>IF(A78="","",IF(F78&gt;=E78,1,0))</f>
        <v/>
      </c>
      <c r="K78" s="6">
        <f>IF(A78="","",IF(G78="да",0,1))</f>
        <v/>
      </c>
      <c r="L78" s="6">
        <f>IF(A78="","",I78*J78*K78)</f>
        <v/>
      </c>
    </row>
    <row r="79">
      <c r="A79" s="4" t="n"/>
      <c r="B79" s="4" t="n"/>
      <c r="C79" s="5" t="n"/>
      <c r="D79" s="5" t="n"/>
      <c r="E79" s="4" t="n"/>
      <c r="F79" s="4" t="n"/>
      <c r="G79" s="4" t="n"/>
      <c r="H79" s="4" t="n"/>
      <c r="I79" s="6">
        <f>IF(A79="","",IF(D79&lt;=C79,1,0))</f>
        <v/>
      </c>
      <c r="J79" s="6">
        <f>IF(A79="","",IF(F79&gt;=E79,1,0))</f>
        <v/>
      </c>
      <c r="K79" s="6">
        <f>IF(A79="","",IF(G79="да",0,1))</f>
        <v/>
      </c>
      <c r="L79" s="6">
        <f>IF(A79="","",I79*J79*K79)</f>
        <v/>
      </c>
    </row>
    <row r="80">
      <c r="A80" s="4" t="n"/>
      <c r="B80" s="4" t="n"/>
      <c r="C80" s="5" t="n"/>
      <c r="D80" s="5" t="n"/>
      <c r="E80" s="4" t="n"/>
      <c r="F80" s="4" t="n"/>
      <c r="G80" s="4" t="n"/>
      <c r="H80" s="4" t="n"/>
      <c r="I80" s="6">
        <f>IF(A80="","",IF(D80&lt;=C80,1,0))</f>
        <v/>
      </c>
      <c r="J80" s="6">
        <f>IF(A80="","",IF(F80&gt;=E80,1,0))</f>
        <v/>
      </c>
      <c r="K80" s="6">
        <f>IF(A80="","",IF(G80="да",0,1))</f>
        <v/>
      </c>
      <c r="L80" s="6">
        <f>IF(A80="","",I80*J80*K80)</f>
        <v/>
      </c>
    </row>
    <row r="81">
      <c r="A81" s="4" t="n"/>
      <c r="B81" s="4" t="n"/>
      <c r="C81" s="5" t="n"/>
      <c r="D81" s="5" t="n"/>
      <c r="E81" s="4" t="n"/>
      <c r="F81" s="4" t="n"/>
      <c r="G81" s="4" t="n"/>
      <c r="H81" s="4" t="n"/>
      <c r="I81" s="6">
        <f>IF(A81="","",IF(D81&lt;=C81,1,0))</f>
        <v/>
      </c>
      <c r="J81" s="6">
        <f>IF(A81="","",IF(F81&gt;=E81,1,0))</f>
        <v/>
      </c>
      <c r="K81" s="6">
        <f>IF(A81="","",IF(G81="да",0,1))</f>
        <v/>
      </c>
      <c r="L81" s="6">
        <f>IF(A81="","",I81*J81*K81)</f>
        <v/>
      </c>
    </row>
    <row r="82">
      <c r="A82" s="4" t="n"/>
      <c r="B82" s="4" t="n"/>
      <c r="C82" s="5" t="n"/>
      <c r="D82" s="5" t="n"/>
      <c r="E82" s="4" t="n"/>
      <c r="F82" s="4" t="n"/>
      <c r="G82" s="4" t="n"/>
      <c r="H82" s="4" t="n"/>
      <c r="I82" s="6">
        <f>IF(A82="","",IF(D82&lt;=C82,1,0))</f>
        <v/>
      </c>
      <c r="J82" s="6">
        <f>IF(A82="","",IF(F82&gt;=E82,1,0))</f>
        <v/>
      </c>
      <c r="K82" s="6">
        <f>IF(A82="","",IF(G82="да",0,1))</f>
        <v/>
      </c>
      <c r="L82" s="6">
        <f>IF(A82="","",I82*J82*K82)</f>
        <v/>
      </c>
    </row>
    <row r="83">
      <c r="A83" s="4" t="n"/>
      <c r="B83" s="4" t="n"/>
      <c r="C83" s="5" t="n"/>
      <c r="D83" s="5" t="n"/>
      <c r="E83" s="4" t="n"/>
      <c r="F83" s="4" t="n"/>
      <c r="G83" s="4" t="n"/>
      <c r="H83" s="4" t="n"/>
      <c r="I83" s="6">
        <f>IF(A83="","",IF(D83&lt;=C83,1,0))</f>
        <v/>
      </c>
      <c r="J83" s="6">
        <f>IF(A83="","",IF(F83&gt;=E83,1,0))</f>
        <v/>
      </c>
      <c r="K83" s="6">
        <f>IF(A83="","",IF(G83="да",0,1))</f>
        <v/>
      </c>
      <c r="L83" s="6">
        <f>IF(A83="","",I83*J83*K83)</f>
        <v/>
      </c>
    </row>
    <row r="84">
      <c r="A84" s="4" t="n"/>
      <c r="B84" s="4" t="n"/>
      <c r="C84" s="5" t="n"/>
      <c r="D84" s="5" t="n"/>
      <c r="E84" s="4" t="n"/>
      <c r="F84" s="4" t="n"/>
      <c r="G84" s="4" t="n"/>
      <c r="H84" s="4" t="n"/>
      <c r="I84" s="6">
        <f>IF(A84="","",IF(D84&lt;=C84,1,0))</f>
        <v/>
      </c>
      <c r="J84" s="6">
        <f>IF(A84="","",IF(F84&gt;=E84,1,0))</f>
        <v/>
      </c>
      <c r="K84" s="6">
        <f>IF(A84="","",IF(G84="да",0,1))</f>
        <v/>
      </c>
      <c r="L84" s="6">
        <f>IF(A84="","",I84*J84*K84)</f>
        <v/>
      </c>
    </row>
    <row r="85">
      <c r="A85" s="4" t="n"/>
      <c r="B85" s="4" t="n"/>
      <c r="C85" s="5" t="n"/>
      <c r="D85" s="5" t="n"/>
      <c r="E85" s="4" t="n"/>
      <c r="F85" s="4" t="n"/>
      <c r="G85" s="4" t="n"/>
      <c r="H85" s="4" t="n"/>
      <c r="I85" s="6">
        <f>IF(A85="","",IF(D85&lt;=C85,1,0))</f>
        <v/>
      </c>
      <c r="J85" s="6">
        <f>IF(A85="","",IF(F85&gt;=E85,1,0))</f>
        <v/>
      </c>
      <c r="K85" s="6">
        <f>IF(A85="","",IF(G85="да",0,1))</f>
        <v/>
      </c>
      <c r="L85" s="6">
        <f>IF(A85="","",I85*J85*K85)</f>
        <v/>
      </c>
    </row>
    <row r="86">
      <c r="A86" s="4" t="n"/>
      <c r="B86" s="4" t="n"/>
      <c r="C86" s="5" t="n"/>
      <c r="D86" s="5" t="n"/>
      <c r="E86" s="4" t="n"/>
      <c r="F86" s="4" t="n"/>
      <c r="G86" s="4" t="n"/>
      <c r="H86" s="4" t="n"/>
      <c r="I86" s="6">
        <f>IF(A86="","",IF(D86&lt;=C86,1,0))</f>
        <v/>
      </c>
      <c r="J86" s="6">
        <f>IF(A86="","",IF(F86&gt;=E86,1,0))</f>
        <v/>
      </c>
      <c r="K86" s="6">
        <f>IF(A86="","",IF(G86="да",0,1))</f>
        <v/>
      </c>
      <c r="L86" s="6">
        <f>IF(A86="","",I86*J86*K86)</f>
        <v/>
      </c>
    </row>
    <row r="87">
      <c r="A87" s="4" t="n"/>
      <c r="B87" s="4" t="n"/>
      <c r="C87" s="5" t="n"/>
      <c r="D87" s="5" t="n"/>
      <c r="E87" s="4" t="n"/>
      <c r="F87" s="4" t="n"/>
      <c r="G87" s="4" t="n"/>
      <c r="H87" s="4" t="n"/>
      <c r="I87" s="6">
        <f>IF(A87="","",IF(D87&lt;=C87,1,0))</f>
        <v/>
      </c>
      <c r="J87" s="6">
        <f>IF(A87="","",IF(F87&gt;=E87,1,0))</f>
        <v/>
      </c>
      <c r="K87" s="6">
        <f>IF(A87="","",IF(G87="да",0,1))</f>
        <v/>
      </c>
      <c r="L87" s="6">
        <f>IF(A87="","",I87*J87*K87)</f>
        <v/>
      </c>
    </row>
    <row r="88">
      <c r="A88" s="4" t="n"/>
      <c r="B88" s="4" t="n"/>
      <c r="C88" s="5" t="n"/>
      <c r="D88" s="5" t="n"/>
      <c r="E88" s="4" t="n"/>
      <c r="F88" s="4" t="n"/>
      <c r="G88" s="4" t="n"/>
      <c r="H88" s="4" t="n"/>
      <c r="I88" s="6">
        <f>IF(A88="","",IF(D88&lt;=C88,1,0))</f>
        <v/>
      </c>
      <c r="J88" s="6">
        <f>IF(A88="","",IF(F88&gt;=E88,1,0))</f>
        <v/>
      </c>
      <c r="K88" s="6">
        <f>IF(A88="","",IF(G88="да",0,1))</f>
        <v/>
      </c>
      <c r="L88" s="6">
        <f>IF(A88="","",I88*J88*K88)</f>
        <v/>
      </c>
    </row>
    <row r="89">
      <c r="A89" s="4" t="n"/>
      <c r="B89" s="4" t="n"/>
      <c r="C89" s="5" t="n"/>
      <c r="D89" s="5" t="n"/>
      <c r="E89" s="4" t="n"/>
      <c r="F89" s="4" t="n"/>
      <c r="G89" s="4" t="n"/>
      <c r="H89" s="4" t="n"/>
      <c r="I89" s="6">
        <f>IF(A89="","",IF(D89&lt;=C89,1,0))</f>
        <v/>
      </c>
      <c r="J89" s="6">
        <f>IF(A89="","",IF(F89&gt;=E89,1,0))</f>
        <v/>
      </c>
      <c r="K89" s="6">
        <f>IF(A89="","",IF(G89="да",0,1))</f>
        <v/>
      </c>
      <c r="L89" s="6">
        <f>IF(A89="","",I89*J89*K89)</f>
        <v/>
      </c>
    </row>
    <row r="90">
      <c r="A90" s="4" t="n"/>
      <c r="B90" s="4" t="n"/>
      <c r="C90" s="5" t="n"/>
      <c r="D90" s="5" t="n"/>
      <c r="E90" s="4" t="n"/>
      <c r="F90" s="4" t="n"/>
      <c r="G90" s="4" t="n"/>
      <c r="H90" s="4" t="n"/>
      <c r="I90" s="6">
        <f>IF(A90="","",IF(D90&lt;=C90,1,0))</f>
        <v/>
      </c>
      <c r="J90" s="6">
        <f>IF(A90="","",IF(F90&gt;=E90,1,0))</f>
        <v/>
      </c>
      <c r="K90" s="6">
        <f>IF(A90="","",IF(G90="да",0,1))</f>
        <v/>
      </c>
      <c r="L90" s="6">
        <f>IF(A90="","",I90*J90*K90)</f>
        <v/>
      </c>
    </row>
    <row r="91">
      <c r="A91" s="4" t="n"/>
      <c r="B91" s="4" t="n"/>
      <c r="C91" s="5" t="n"/>
      <c r="D91" s="5" t="n"/>
      <c r="E91" s="4" t="n"/>
      <c r="F91" s="4" t="n"/>
      <c r="G91" s="4" t="n"/>
      <c r="H91" s="4" t="n"/>
      <c r="I91" s="6">
        <f>IF(A91="","",IF(D91&lt;=C91,1,0))</f>
        <v/>
      </c>
      <c r="J91" s="6">
        <f>IF(A91="","",IF(F91&gt;=E91,1,0))</f>
        <v/>
      </c>
      <c r="K91" s="6">
        <f>IF(A91="","",IF(G91="да",0,1))</f>
        <v/>
      </c>
      <c r="L91" s="6">
        <f>IF(A91="","",I91*J91*K91)</f>
        <v/>
      </c>
    </row>
    <row r="92">
      <c r="A92" s="4" t="n"/>
      <c r="B92" s="4" t="n"/>
      <c r="C92" s="5" t="n"/>
      <c r="D92" s="5" t="n"/>
      <c r="E92" s="4" t="n"/>
      <c r="F92" s="4" t="n"/>
      <c r="G92" s="4" t="n"/>
      <c r="H92" s="4" t="n"/>
      <c r="I92" s="6">
        <f>IF(A92="","",IF(D92&lt;=C92,1,0))</f>
        <v/>
      </c>
      <c r="J92" s="6">
        <f>IF(A92="","",IF(F92&gt;=E92,1,0))</f>
        <v/>
      </c>
      <c r="K92" s="6">
        <f>IF(A92="","",IF(G92="да",0,1))</f>
        <v/>
      </c>
      <c r="L92" s="6">
        <f>IF(A92="","",I92*J92*K92)</f>
        <v/>
      </c>
    </row>
    <row r="93">
      <c r="A93" s="4" t="n"/>
      <c r="B93" s="4" t="n"/>
      <c r="C93" s="5" t="n"/>
      <c r="D93" s="5" t="n"/>
      <c r="E93" s="4" t="n"/>
      <c r="F93" s="4" t="n"/>
      <c r="G93" s="4" t="n"/>
      <c r="H93" s="4" t="n"/>
      <c r="I93" s="6">
        <f>IF(A93="","",IF(D93&lt;=C93,1,0))</f>
        <v/>
      </c>
      <c r="J93" s="6">
        <f>IF(A93="","",IF(F93&gt;=E93,1,0))</f>
        <v/>
      </c>
      <c r="K93" s="6">
        <f>IF(A93="","",IF(G93="да",0,1))</f>
        <v/>
      </c>
      <c r="L93" s="6">
        <f>IF(A93="","",I93*J93*K93)</f>
        <v/>
      </c>
    </row>
    <row r="94">
      <c r="A94" s="4" t="n"/>
      <c r="B94" s="4" t="n"/>
      <c r="C94" s="5" t="n"/>
      <c r="D94" s="5" t="n"/>
      <c r="E94" s="4" t="n"/>
      <c r="F94" s="4" t="n"/>
      <c r="G94" s="4" t="n"/>
      <c r="H94" s="4" t="n"/>
      <c r="I94" s="6">
        <f>IF(A94="","",IF(D94&lt;=C94,1,0))</f>
        <v/>
      </c>
      <c r="J94" s="6">
        <f>IF(A94="","",IF(F94&gt;=E94,1,0))</f>
        <v/>
      </c>
      <c r="K94" s="6">
        <f>IF(A94="","",IF(G94="да",0,1))</f>
        <v/>
      </c>
      <c r="L94" s="6">
        <f>IF(A94="","",I94*J94*K94)</f>
        <v/>
      </c>
    </row>
    <row r="95">
      <c r="A95" s="4" t="n"/>
      <c r="B95" s="4" t="n"/>
      <c r="C95" s="5" t="n"/>
      <c r="D95" s="5" t="n"/>
      <c r="E95" s="4" t="n"/>
      <c r="F95" s="4" t="n"/>
      <c r="G95" s="4" t="n"/>
      <c r="H95" s="4" t="n"/>
      <c r="I95" s="6">
        <f>IF(A95="","",IF(D95&lt;=C95,1,0))</f>
        <v/>
      </c>
      <c r="J95" s="6">
        <f>IF(A95="","",IF(F95&gt;=E95,1,0))</f>
        <v/>
      </c>
      <c r="K95" s="6">
        <f>IF(A95="","",IF(G95="да",0,1))</f>
        <v/>
      </c>
      <c r="L95" s="6">
        <f>IF(A95="","",I95*J95*K95)</f>
        <v/>
      </c>
    </row>
    <row r="96">
      <c r="A96" s="4" t="n"/>
      <c r="B96" s="4" t="n"/>
      <c r="C96" s="5" t="n"/>
      <c r="D96" s="5" t="n"/>
      <c r="E96" s="4" t="n"/>
      <c r="F96" s="4" t="n"/>
      <c r="G96" s="4" t="n"/>
      <c r="H96" s="4" t="n"/>
      <c r="I96" s="6">
        <f>IF(A96="","",IF(D96&lt;=C96,1,0))</f>
        <v/>
      </c>
      <c r="J96" s="6">
        <f>IF(A96="","",IF(F96&gt;=E96,1,0))</f>
        <v/>
      </c>
      <c r="K96" s="6">
        <f>IF(A96="","",IF(G96="да",0,1))</f>
        <v/>
      </c>
      <c r="L96" s="6">
        <f>IF(A96="","",I96*J96*K96)</f>
        <v/>
      </c>
    </row>
    <row r="97">
      <c r="A97" s="4" t="n"/>
      <c r="B97" s="4" t="n"/>
      <c r="C97" s="5" t="n"/>
      <c r="D97" s="5" t="n"/>
      <c r="E97" s="4" t="n"/>
      <c r="F97" s="4" t="n"/>
      <c r="G97" s="4" t="n"/>
      <c r="H97" s="4" t="n"/>
      <c r="I97" s="6">
        <f>IF(A97="","",IF(D97&lt;=C97,1,0))</f>
        <v/>
      </c>
      <c r="J97" s="6">
        <f>IF(A97="","",IF(F97&gt;=E97,1,0))</f>
        <v/>
      </c>
      <c r="K97" s="6">
        <f>IF(A97="","",IF(G97="да",0,1))</f>
        <v/>
      </c>
      <c r="L97" s="6">
        <f>IF(A97="","",I97*J97*K97)</f>
        <v/>
      </c>
    </row>
    <row r="98">
      <c r="A98" s="4" t="n"/>
      <c r="B98" s="4" t="n"/>
      <c r="C98" s="5" t="n"/>
      <c r="D98" s="5" t="n"/>
      <c r="E98" s="4" t="n"/>
      <c r="F98" s="4" t="n"/>
      <c r="G98" s="4" t="n"/>
      <c r="H98" s="4" t="n"/>
      <c r="I98" s="6">
        <f>IF(A98="","",IF(D98&lt;=C98,1,0))</f>
        <v/>
      </c>
      <c r="J98" s="6">
        <f>IF(A98="","",IF(F98&gt;=E98,1,0))</f>
        <v/>
      </c>
      <c r="K98" s="6">
        <f>IF(A98="","",IF(G98="да",0,1))</f>
        <v/>
      </c>
      <c r="L98" s="6">
        <f>IF(A98="","",I98*J98*K98)</f>
        <v/>
      </c>
    </row>
    <row r="99">
      <c r="A99" s="4" t="n"/>
      <c r="B99" s="4" t="n"/>
      <c r="C99" s="5" t="n"/>
      <c r="D99" s="5" t="n"/>
      <c r="E99" s="4" t="n"/>
      <c r="F99" s="4" t="n"/>
      <c r="G99" s="4" t="n"/>
      <c r="H99" s="4" t="n"/>
      <c r="I99" s="6">
        <f>IF(A99="","",IF(D99&lt;=C99,1,0))</f>
        <v/>
      </c>
      <c r="J99" s="6">
        <f>IF(A99="","",IF(F99&gt;=E99,1,0))</f>
        <v/>
      </c>
      <c r="K99" s="6">
        <f>IF(A99="","",IF(G99="да",0,1))</f>
        <v/>
      </c>
      <c r="L99" s="6">
        <f>IF(A99="","",I99*J99*K99)</f>
        <v/>
      </c>
    </row>
    <row r="100">
      <c r="A100" s="4" t="n"/>
      <c r="B100" s="4" t="n"/>
      <c r="C100" s="5" t="n"/>
      <c r="D100" s="5" t="n"/>
      <c r="E100" s="4" t="n"/>
      <c r="F100" s="4" t="n"/>
      <c r="G100" s="4" t="n"/>
      <c r="H100" s="4" t="n"/>
      <c r="I100" s="6">
        <f>IF(A100="","",IF(D100&lt;=C100,1,0))</f>
        <v/>
      </c>
      <c r="J100" s="6">
        <f>IF(A100="","",IF(F100&gt;=E100,1,0))</f>
        <v/>
      </c>
      <c r="K100" s="6">
        <f>IF(A100="","",IF(G100="да",0,1))</f>
        <v/>
      </c>
      <c r="L100" s="6">
        <f>IF(A100="","",I100*J100*K100)</f>
        <v/>
      </c>
    </row>
    <row r="101">
      <c r="A101" s="4" t="n"/>
      <c r="B101" s="4" t="n"/>
      <c r="C101" s="5" t="n"/>
      <c r="D101" s="5" t="n"/>
      <c r="E101" s="4" t="n"/>
      <c r="F101" s="4" t="n"/>
      <c r="G101" s="4" t="n"/>
      <c r="H101" s="4" t="n"/>
      <c r="I101" s="6">
        <f>IF(A101="","",IF(D101&lt;=C101,1,0))</f>
        <v/>
      </c>
      <c r="J101" s="6">
        <f>IF(A101="","",IF(F101&gt;=E101,1,0))</f>
        <v/>
      </c>
      <c r="K101" s="6">
        <f>IF(A101="","",IF(G101="да",0,1))</f>
        <v/>
      </c>
      <c r="L101" s="6">
        <f>IF(A101="","",I101*J101*K101)</f>
        <v/>
      </c>
    </row>
    <row r="102">
      <c r="A102" s="4" t="n"/>
      <c r="B102" s="4" t="n"/>
      <c r="C102" s="5" t="n"/>
      <c r="D102" s="5" t="n"/>
      <c r="E102" s="4" t="n"/>
      <c r="F102" s="4" t="n"/>
      <c r="G102" s="4" t="n"/>
      <c r="H102" s="4" t="n"/>
      <c r="I102" s="6">
        <f>IF(A102="","",IF(D102&lt;=C102,1,0))</f>
        <v/>
      </c>
      <c r="J102" s="6">
        <f>IF(A102="","",IF(F102&gt;=E102,1,0))</f>
        <v/>
      </c>
      <c r="K102" s="6">
        <f>IF(A102="","",IF(G102="да",0,1))</f>
        <v/>
      </c>
      <c r="L102" s="6">
        <f>IF(A102="","",I102*J102*K102)</f>
        <v/>
      </c>
    </row>
    <row r="103">
      <c r="A103" s="4" t="n"/>
      <c r="B103" s="4" t="n"/>
      <c r="C103" s="5" t="n"/>
      <c r="D103" s="5" t="n"/>
      <c r="E103" s="4" t="n"/>
      <c r="F103" s="4" t="n"/>
      <c r="G103" s="4" t="n"/>
      <c r="H103" s="4" t="n"/>
      <c r="I103" s="6">
        <f>IF(A103="","",IF(D103&lt;=C103,1,0))</f>
        <v/>
      </c>
      <c r="J103" s="6">
        <f>IF(A103="","",IF(F103&gt;=E103,1,0))</f>
        <v/>
      </c>
      <c r="K103" s="6">
        <f>IF(A103="","",IF(G103="да",0,1))</f>
        <v/>
      </c>
      <c r="L103" s="6">
        <f>IF(A103="","",I103*J103*K103)</f>
        <v/>
      </c>
    </row>
    <row r="104">
      <c r="A104" s="4" t="n"/>
      <c r="B104" s="4" t="n"/>
      <c r="C104" s="5" t="n"/>
      <c r="D104" s="5" t="n"/>
      <c r="E104" s="4" t="n"/>
      <c r="F104" s="4" t="n"/>
      <c r="G104" s="4" t="n"/>
      <c r="H104" s="4" t="n"/>
      <c r="I104" s="6">
        <f>IF(A104="","",IF(D104&lt;=C104,1,0))</f>
        <v/>
      </c>
      <c r="J104" s="6">
        <f>IF(A104="","",IF(F104&gt;=E104,1,0))</f>
        <v/>
      </c>
      <c r="K104" s="6">
        <f>IF(A104="","",IF(G104="да",0,1))</f>
        <v/>
      </c>
      <c r="L104" s="6">
        <f>IF(A104="","",I104*J104*K104)</f>
        <v/>
      </c>
    </row>
    <row r="105">
      <c r="A105" s="4" t="n"/>
      <c r="B105" s="4" t="n"/>
      <c r="C105" s="5" t="n"/>
      <c r="D105" s="5" t="n"/>
      <c r="E105" s="4" t="n"/>
      <c r="F105" s="4" t="n"/>
      <c r="G105" s="4" t="n"/>
      <c r="H105" s="4" t="n"/>
      <c r="I105" s="6">
        <f>IF(A105="","",IF(D105&lt;=C105,1,0))</f>
        <v/>
      </c>
      <c r="J105" s="6">
        <f>IF(A105="","",IF(F105&gt;=E105,1,0))</f>
        <v/>
      </c>
      <c r="K105" s="6">
        <f>IF(A105="","",IF(G105="да",0,1))</f>
        <v/>
      </c>
      <c r="L105" s="6">
        <f>IF(A105="","",I105*J105*K105)</f>
        <v/>
      </c>
    </row>
    <row r="106">
      <c r="A106" s="4" t="n"/>
      <c r="B106" s="4" t="n"/>
      <c r="C106" s="5" t="n"/>
      <c r="D106" s="5" t="n"/>
      <c r="E106" s="4" t="n"/>
      <c r="F106" s="4" t="n"/>
      <c r="G106" s="4" t="n"/>
      <c r="H106" s="4" t="n"/>
      <c r="I106" s="6">
        <f>IF(A106="","",IF(D106&lt;=C106,1,0))</f>
        <v/>
      </c>
      <c r="J106" s="6">
        <f>IF(A106="","",IF(F106&gt;=E106,1,0))</f>
        <v/>
      </c>
      <c r="K106" s="6">
        <f>IF(A106="","",IF(G106="да",0,1))</f>
        <v/>
      </c>
      <c r="L106" s="6">
        <f>IF(A106="","",I106*J106*K106)</f>
        <v/>
      </c>
    </row>
    <row r="107">
      <c r="A107" s="4" t="n"/>
      <c r="B107" s="4" t="n"/>
      <c r="C107" s="5" t="n"/>
      <c r="D107" s="5" t="n"/>
      <c r="E107" s="4" t="n"/>
      <c r="F107" s="4" t="n"/>
      <c r="G107" s="4" t="n"/>
      <c r="H107" s="4" t="n"/>
      <c r="I107" s="6">
        <f>IF(A107="","",IF(D107&lt;=C107,1,0))</f>
        <v/>
      </c>
      <c r="J107" s="6">
        <f>IF(A107="","",IF(F107&gt;=E107,1,0))</f>
        <v/>
      </c>
      <c r="K107" s="6">
        <f>IF(A107="","",IF(G107="да",0,1))</f>
        <v/>
      </c>
      <c r="L107" s="6">
        <f>IF(A107="","",I107*J107*K107)</f>
        <v/>
      </c>
    </row>
    <row r="108">
      <c r="A108" s="4" t="n"/>
      <c r="B108" s="4" t="n"/>
      <c r="C108" s="5" t="n"/>
      <c r="D108" s="5" t="n"/>
      <c r="E108" s="4" t="n"/>
      <c r="F108" s="4" t="n"/>
      <c r="G108" s="4" t="n"/>
      <c r="H108" s="4" t="n"/>
      <c r="I108" s="6">
        <f>IF(A108="","",IF(D108&lt;=C108,1,0))</f>
        <v/>
      </c>
      <c r="J108" s="6">
        <f>IF(A108="","",IF(F108&gt;=E108,1,0))</f>
        <v/>
      </c>
      <c r="K108" s="6">
        <f>IF(A108="","",IF(G108="да",0,1))</f>
        <v/>
      </c>
      <c r="L108" s="6">
        <f>IF(A108="","",I108*J108*K108)</f>
        <v/>
      </c>
    </row>
    <row r="109">
      <c r="A109" s="4" t="n"/>
      <c r="B109" s="4" t="n"/>
      <c r="C109" s="5" t="n"/>
      <c r="D109" s="5" t="n"/>
      <c r="E109" s="4" t="n"/>
      <c r="F109" s="4" t="n"/>
      <c r="G109" s="4" t="n"/>
      <c r="H109" s="4" t="n"/>
      <c r="I109" s="6">
        <f>IF(A109="","",IF(D109&lt;=C109,1,0))</f>
        <v/>
      </c>
      <c r="J109" s="6">
        <f>IF(A109="","",IF(F109&gt;=E109,1,0))</f>
        <v/>
      </c>
      <c r="K109" s="6">
        <f>IF(A109="","",IF(G109="да",0,1))</f>
        <v/>
      </c>
      <c r="L109" s="6">
        <f>IF(A109="","",I109*J109*K109)</f>
        <v/>
      </c>
    </row>
    <row r="110">
      <c r="A110" s="4" t="n"/>
      <c r="B110" s="4" t="n"/>
      <c r="C110" s="5" t="n"/>
      <c r="D110" s="5" t="n"/>
      <c r="E110" s="4" t="n"/>
      <c r="F110" s="4" t="n"/>
      <c r="G110" s="4" t="n"/>
      <c r="H110" s="4" t="n"/>
      <c r="I110" s="6">
        <f>IF(A110="","",IF(D110&lt;=C110,1,0))</f>
        <v/>
      </c>
      <c r="J110" s="6">
        <f>IF(A110="","",IF(F110&gt;=E110,1,0))</f>
        <v/>
      </c>
      <c r="K110" s="6">
        <f>IF(A110="","",IF(G110="да",0,1))</f>
        <v/>
      </c>
      <c r="L110" s="6">
        <f>IF(A110="","",I110*J110*K110)</f>
        <v/>
      </c>
    </row>
    <row r="111">
      <c r="A111" s="4" t="n"/>
      <c r="B111" s="4" t="n"/>
      <c r="C111" s="5" t="n"/>
      <c r="D111" s="5" t="n"/>
      <c r="E111" s="4" t="n"/>
      <c r="F111" s="4" t="n"/>
      <c r="G111" s="4" t="n"/>
      <c r="H111" s="4" t="n"/>
      <c r="I111" s="6">
        <f>IF(A111="","",IF(D111&lt;=C111,1,0))</f>
        <v/>
      </c>
      <c r="J111" s="6">
        <f>IF(A111="","",IF(F111&gt;=E111,1,0))</f>
        <v/>
      </c>
      <c r="K111" s="6">
        <f>IF(A111="","",IF(G111="да",0,1))</f>
        <v/>
      </c>
      <c r="L111" s="6">
        <f>IF(A111="","",I111*J111*K111)</f>
        <v/>
      </c>
    </row>
    <row r="112">
      <c r="A112" s="4" t="n"/>
      <c r="B112" s="4" t="n"/>
      <c r="C112" s="5" t="n"/>
      <c r="D112" s="5" t="n"/>
      <c r="E112" s="4" t="n"/>
      <c r="F112" s="4" t="n"/>
      <c r="G112" s="4" t="n"/>
      <c r="H112" s="4" t="n"/>
      <c r="I112" s="6">
        <f>IF(A112="","",IF(D112&lt;=C112,1,0))</f>
        <v/>
      </c>
      <c r="J112" s="6">
        <f>IF(A112="","",IF(F112&gt;=E112,1,0))</f>
        <v/>
      </c>
      <c r="K112" s="6">
        <f>IF(A112="","",IF(G112="да",0,1))</f>
        <v/>
      </c>
      <c r="L112" s="6">
        <f>IF(A112="","",I112*J112*K112)</f>
        <v/>
      </c>
    </row>
    <row r="113">
      <c r="A113" s="4" t="n"/>
      <c r="B113" s="4" t="n"/>
      <c r="C113" s="5" t="n"/>
      <c r="D113" s="5" t="n"/>
      <c r="E113" s="4" t="n"/>
      <c r="F113" s="4" t="n"/>
      <c r="G113" s="4" t="n"/>
      <c r="H113" s="4" t="n"/>
      <c r="I113" s="6">
        <f>IF(A113="","",IF(D113&lt;=C113,1,0))</f>
        <v/>
      </c>
      <c r="J113" s="6">
        <f>IF(A113="","",IF(F113&gt;=E113,1,0))</f>
        <v/>
      </c>
      <c r="K113" s="6">
        <f>IF(A113="","",IF(G113="да",0,1))</f>
        <v/>
      </c>
      <c r="L113" s="6">
        <f>IF(A113="","",I113*J113*K113)</f>
        <v/>
      </c>
    </row>
    <row r="114">
      <c r="A114" s="4" t="n"/>
      <c r="B114" s="4" t="n"/>
      <c r="C114" s="5" t="n"/>
      <c r="D114" s="5" t="n"/>
      <c r="E114" s="4" t="n"/>
      <c r="F114" s="4" t="n"/>
      <c r="G114" s="4" t="n"/>
      <c r="H114" s="4" t="n"/>
      <c r="I114" s="6">
        <f>IF(A114="","",IF(D114&lt;=C114,1,0))</f>
        <v/>
      </c>
      <c r="J114" s="6">
        <f>IF(A114="","",IF(F114&gt;=E114,1,0))</f>
        <v/>
      </c>
      <c r="K114" s="6">
        <f>IF(A114="","",IF(G114="да",0,1))</f>
        <v/>
      </c>
      <c r="L114" s="6">
        <f>IF(A114="","",I114*J114*K114)</f>
        <v/>
      </c>
    </row>
    <row r="115">
      <c r="A115" s="4" t="n"/>
      <c r="B115" s="4" t="n"/>
      <c r="C115" s="5" t="n"/>
      <c r="D115" s="5" t="n"/>
      <c r="E115" s="4" t="n"/>
      <c r="F115" s="4" t="n"/>
      <c r="G115" s="4" t="n"/>
      <c r="H115" s="4" t="n"/>
      <c r="I115" s="6">
        <f>IF(A115="","",IF(D115&lt;=C115,1,0))</f>
        <v/>
      </c>
      <c r="J115" s="6">
        <f>IF(A115="","",IF(F115&gt;=E115,1,0))</f>
        <v/>
      </c>
      <c r="K115" s="6">
        <f>IF(A115="","",IF(G115="да",0,1))</f>
        <v/>
      </c>
      <c r="L115" s="6">
        <f>IF(A115="","",I115*J115*K115)</f>
        <v/>
      </c>
    </row>
    <row r="116">
      <c r="A116" s="4" t="n"/>
      <c r="B116" s="4" t="n"/>
      <c r="C116" s="5" t="n"/>
      <c r="D116" s="5" t="n"/>
      <c r="E116" s="4" t="n"/>
      <c r="F116" s="4" t="n"/>
      <c r="G116" s="4" t="n"/>
      <c r="H116" s="4" t="n"/>
      <c r="I116" s="6">
        <f>IF(A116="","",IF(D116&lt;=C116,1,0))</f>
        <v/>
      </c>
      <c r="J116" s="6">
        <f>IF(A116="","",IF(F116&gt;=E116,1,0))</f>
        <v/>
      </c>
      <c r="K116" s="6">
        <f>IF(A116="","",IF(G116="да",0,1))</f>
        <v/>
      </c>
      <c r="L116" s="6">
        <f>IF(A116="","",I116*J116*K116)</f>
        <v/>
      </c>
    </row>
    <row r="117">
      <c r="A117" s="4" t="n"/>
      <c r="B117" s="4" t="n"/>
      <c r="C117" s="5" t="n"/>
      <c r="D117" s="5" t="n"/>
      <c r="E117" s="4" t="n"/>
      <c r="F117" s="4" t="n"/>
      <c r="G117" s="4" t="n"/>
      <c r="H117" s="4" t="n"/>
      <c r="I117" s="6">
        <f>IF(A117="","",IF(D117&lt;=C117,1,0))</f>
        <v/>
      </c>
      <c r="J117" s="6">
        <f>IF(A117="","",IF(F117&gt;=E117,1,0))</f>
        <v/>
      </c>
      <c r="K117" s="6">
        <f>IF(A117="","",IF(G117="да",0,1))</f>
        <v/>
      </c>
      <c r="L117" s="6">
        <f>IF(A117="","",I117*J117*K117)</f>
        <v/>
      </c>
    </row>
    <row r="118">
      <c r="A118" s="4" t="n"/>
      <c r="B118" s="4" t="n"/>
      <c r="C118" s="5" t="n"/>
      <c r="D118" s="5" t="n"/>
      <c r="E118" s="4" t="n"/>
      <c r="F118" s="4" t="n"/>
      <c r="G118" s="4" t="n"/>
      <c r="H118" s="4" t="n"/>
      <c r="I118" s="6">
        <f>IF(A118="","",IF(D118&lt;=C118,1,0))</f>
        <v/>
      </c>
      <c r="J118" s="6">
        <f>IF(A118="","",IF(F118&gt;=E118,1,0))</f>
        <v/>
      </c>
      <c r="K118" s="6">
        <f>IF(A118="","",IF(G118="да",0,1))</f>
        <v/>
      </c>
      <c r="L118" s="6">
        <f>IF(A118="","",I118*J118*K118)</f>
        <v/>
      </c>
    </row>
    <row r="119">
      <c r="A119" s="4" t="n"/>
      <c r="B119" s="4" t="n"/>
      <c r="C119" s="5" t="n"/>
      <c r="D119" s="5" t="n"/>
      <c r="E119" s="4" t="n"/>
      <c r="F119" s="4" t="n"/>
      <c r="G119" s="4" t="n"/>
      <c r="H119" s="4" t="n"/>
      <c r="I119" s="6">
        <f>IF(A119="","",IF(D119&lt;=C119,1,0))</f>
        <v/>
      </c>
      <c r="J119" s="6">
        <f>IF(A119="","",IF(F119&gt;=E119,1,0))</f>
        <v/>
      </c>
      <c r="K119" s="6">
        <f>IF(A119="","",IF(G119="да",0,1))</f>
        <v/>
      </c>
      <c r="L119" s="6">
        <f>IF(A119="","",I119*J119*K119)</f>
        <v/>
      </c>
    </row>
    <row r="120">
      <c r="A120" s="4" t="n"/>
      <c r="B120" s="4" t="n"/>
      <c r="C120" s="5" t="n"/>
      <c r="D120" s="5" t="n"/>
      <c r="E120" s="4" t="n"/>
      <c r="F120" s="4" t="n"/>
      <c r="G120" s="4" t="n"/>
      <c r="H120" s="4" t="n"/>
      <c r="I120" s="6">
        <f>IF(A120="","",IF(D120&lt;=C120,1,0))</f>
        <v/>
      </c>
      <c r="J120" s="6">
        <f>IF(A120="","",IF(F120&gt;=E120,1,0))</f>
        <v/>
      </c>
      <c r="K120" s="6">
        <f>IF(A120="","",IF(G120="да",0,1))</f>
        <v/>
      </c>
      <c r="L120" s="6">
        <f>IF(A120="","",I120*J120*K120)</f>
        <v/>
      </c>
    </row>
    <row r="121">
      <c r="A121" s="4" t="n"/>
      <c r="B121" s="4" t="n"/>
      <c r="C121" s="5" t="n"/>
      <c r="D121" s="5" t="n"/>
      <c r="E121" s="4" t="n"/>
      <c r="F121" s="4" t="n"/>
      <c r="G121" s="4" t="n"/>
      <c r="H121" s="4" t="n"/>
      <c r="I121" s="6">
        <f>IF(A121="","",IF(D121&lt;=C121,1,0))</f>
        <v/>
      </c>
      <c r="J121" s="6">
        <f>IF(A121="","",IF(F121&gt;=E121,1,0))</f>
        <v/>
      </c>
      <c r="K121" s="6">
        <f>IF(A121="","",IF(G121="да",0,1))</f>
        <v/>
      </c>
      <c r="L121" s="6">
        <f>IF(A121="","",I121*J121*K121)</f>
        <v/>
      </c>
    </row>
    <row r="122">
      <c r="A122" s="4" t="n"/>
      <c r="B122" s="4" t="n"/>
      <c r="C122" s="5" t="n"/>
      <c r="D122" s="5" t="n"/>
      <c r="E122" s="4" t="n"/>
      <c r="F122" s="4" t="n"/>
      <c r="G122" s="4" t="n"/>
      <c r="H122" s="4" t="n"/>
      <c r="I122" s="6">
        <f>IF(A122="","",IF(D122&lt;=C122,1,0))</f>
        <v/>
      </c>
      <c r="J122" s="6">
        <f>IF(A122="","",IF(F122&gt;=E122,1,0))</f>
        <v/>
      </c>
      <c r="K122" s="6">
        <f>IF(A122="","",IF(G122="да",0,1))</f>
        <v/>
      </c>
      <c r="L122" s="6">
        <f>IF(A122="","",I122*J122*K122)</f>
        <v/>
      </c>
    </row>
    <row r="123">
      <c r="A123" s="4" t="n"/>
      <c r="B123" s="4" t="n"/>
      <c r="C123" s="5" t="n"/>
      <c r="D123" s="5" t="n"/>
      <c r="E123" s="4" t="n"/>
      <c r="F123" s="4" t="n"/>
      <c r="G123" s="4" t="n"/>
      <c r="H123" s="4" t="n"/>
      <c r="I123" s="6">
        <f>IF(A123="","",IF(D123&lt;=C123,1,0))</f>
        <v/>
      </c>
      <c r="J123" s="6">
        <f>IF(A123="","",IF(F123&gt;=E123,1,0))</f>
        <v/>
      </c>
      <c r="K123" s="6">
        <f>IF(A123="","",IF(G123="да",0,1))</f>
        <v/>
      </c>
      <c r="L123" s="6">
        <f>IF(A123="","",I123*J123*K123)</f>
        <v/>
      </c>
    </row>
    <row r="124">
      <c r="A124" s="4" t="n"/>
      <c r="B124" s="4" t="n"/>
      <c r="C124" s="5" t="n"/>
      <c r="D124" s="5" t="n"/>
      <c r="E124" s="4" t="n"/>
      <c r="F124" s="4" t="n"/>
      <c r="G124" s="4" t="n"/>
      <c r="H124" s="4" t="n"/>
      <c r="I124" s="6">
        <f>IF(A124="","",IF(D124&lt;=C124,1,0))</f>
        <v/>
      </c>
      <c r="J124" s="6">
        <f>IF(A124="","",IF(F124&gt;=E124,1,0))</f>
        <v/>
      </c>
      <c r="K124" s="6">
        <f>IF(A124="","",IF(G124="да",0,1))</f>
        <v/>
      </c>
      <c r="L124" s="6">
        <f>IF(A124="","",I124*J124*K124)</f>
        <v/>
      </c>
    </row>
    <row r="125">
      <c r="A125" s="4" t="n"/>
      <c r="B125" s="4" t="n"/>
      <c r="C125" s="5" t="n"/>
      <c r="D125" s="5" t="n"/>
      <c r="E125" s="4" t="n"/>
      <c r="F125" s="4" t="n"/>
      <c r="G125" s="4" t="n"/>
      <c r="H125" s="4" t="n"/>
      <c r="I125" s="6">
        <f>IF(A125="","",IF(D125&lt;=C125,1,0))</f>
        <v/>
      </c>
      <c r="J125" s="6">
        <f>IF(A125="","",IF(F125&gt;=E125,1,0))</f>
        <v/>
      </c>
      <c r="K125" s="6">
        <f>IF(A125="","",IF(G125="да",0,1))</f>
        <v/>
      </c>
      <c r="L125" s="6">
        <f>IF(A125="","",I125*J125*K125)</f>
        <v/>
      </c>
    </row>
    <row r="126">
      <c r="A126" s="4" t="n"/>
      <c r="B126" s="4" t="n"/>
      <c r="C126" s="5" t="n"/>
      <c r="D126" s="5" t="n"/>
      <c r="E126" s="4" t="n"/>
      <c r="F126" s="4" t="n"/>
      <c r="G126" s="4" t="n"/>
      <c r="H126" s="4" t="n"/>
      <c r="I126" s="6">
        <f>IF(A126="","",IF(D126&lt;=C126,1,0))</f>
        <v/>
      </c>
      <c r="J126" s="6">
        <f>IF(A126="","",IF(F126&gt;=E126,1,0))</f>
        <v/>
      </c>
      <c r="K126" s="6">
        <f>IF(A126="","",IF(G126="да",0,1))</f>
        <v/>
      </c>
      <c r="L126" s="6">
        <f>IF(A126="","",I126*J126*K126)</f>
        <v/>
      </c>
    </row>
    <row r="127">
      <c r="A127" s="4" t="n"/>
      <c r="B127" s="4" t="n"/>
      <c r="C127" s="5" t="n"/>
      <c r="D127" s="5" t="n"/>
      <c r="E127" s="4" t="n"/>
      <c r="F127" s="4" t="n"/>
      <c r="G127" s="4" t="n"/>
      <c r="H127" s="4" t="n"/>
      <c r="I127" s="6">
        <f>IF(A127="","",IF(D127&lt;=C127,1,0))</f>
        <v/>
      </c>
      <c r="J127" s="6">
        <f>IF(A127="","",IF(F127&gt;=E127,1,0))</f>
        <v/>
      </c>
      <c r="K127" s="6">
        <f>IF(A127="","",IF(G127="да",0,1))</f>
        <v/>
      </c>
      <c r="L127" s="6">
        <f>IF(A127="","",I127*J127*K127)</f>
        <v/>
      </c>
    </row>
    <row r="128">
      <c r="A128" s="4" t="n"/>
      <c r="B128" s="4" t="n"/>
      <c r="C128" s="5" t="n"/>
      <c r="D128" s="5" t="n"/>
      <c r="E128" s="4" t="n"/>
      <c r="F128" s="4" t="n"/>
      <c r="G128" s="4" t="n"/>
      <c r="H128" s="4" t="n"/>
      <c r="I128" s="6">
        <f>IF(A128="","",IF(D128&lt;=C128,1,0))</f>
        <v/>
      </c>
      <c r="J128" s="6">
        <f>IF(A128="","",IF(F128&gt;=E128,1,0))</f>
        <v/>
      </c>
      <c r="K128" s="6">
        <f>IF(A128="","",IF(G128="да",0,1))</f>
        <v/>
      </c>
      <c r="L128" s="6">
        <f>IF(A128="","",I128*J128*K128)</f>
        <v/>
      </c>
    </row>
    <row r="129">
      <c r="A129" s="4" t="n"/>
      <c r="B129" s="4" t="n"/>
      <c r="C129" s="5" t="n"/>
      <c r="D129" s="5" t="n"/>
      <c r="E129" s="4" t="n"/>
      <c r="F129" s="4" t="n"/>
      <c r="G129" s="4" t="n"/>
      <c r="H129" s="4" t="n"/>
      <c r="I129" s="6">
        <f>IF(A129="","",IF(D129&lt;=C129,1,0))</f>
        <v/>
      </c>
      <c r="J129" s="6">
        <f>IF(A129="","",IF(F129&gt;=E129,1,0))</f>
        <v/>
      </c>
      <c r="K129" s="6">
        <f>IF(A129="","",IF(G129="да",0,1))</f>
        <v/>
      </c>
      <c r="L129" s="6">
        <f>IF(A129="","",I129*J129*K129)</f>
        <v/>
      </c>
    </row>
    <row r="130">
      <c r="A130" s="4" t="n"/>
      <c r="B130" s="4" t="n"/>
      <c r="C130" s="5" t="n"/>
      <c r="D130" s="5" t="n"/>
      <c r="E130" s="4" t="n"/>
      <c r="F130" s="4" t="n"/>
      <c r="G130" s="4" t="n"/>
      <c r="H130" s="4" t="n"/>
      <c r="I130" s="6">
        <f>IF(A130="","",IF(D130&lt;=C130,1,0))</f>
        <v/>
      </c>
      <c r="J130" s="6">
        <f>IF(A130="","",IF(F130&gt;=E130,1,0))</f>
        <v/>
      </c>
      <c r="K130" s="6">
        <f>IF(A130="","",IF(G130="да",0,1))</f>
        <v/>
      </c>
      <c r="L130" s="6">
        <f>IF(A130="","",I130*J130*K130)</f>
        <v/>
      </c>
    </row>
    <row r="131">
      <c r="A131" s="4" t="n"/>
      <c r="B131" s="4" t="n"/>
      <c r="C131" s="5" t="n"/>
      <c r="D131" s="5" t="n"/>
      <c r="E131" s="4" t="n"/>
      <c r="F131" s="4" t="n"/>
      <c r="G131" s="4" t="n"/>
      <c r="H131" s="4" t="n"/>
      <c r="I131" s="6">
        <f>IF(A131="","",IF(D131&lt;=C131,1,0))</f>
        <v/>
      </c>
      <c r="J131" s="6">
        <f>IF(A131="","",IF(F131&gt;=E131,1,0))</f>
        <v/>
      </c>
      <c r="K131" s="6">
        <f>IF(A131="","",IF(G131="да",0,1))</f>
        <v/>
      </c>
      <c r="L131" s="6">
        <f>IF(A131="","",I131*J131*K131)</f>
        <v/>
      </c>
    </row>
    <row r="132">
      <c r="A132" s="4" t="n"/>
      <c r="B132" s="4" t="n"/>
      <c r="C132" s="5" t="n"/>
      <c r="D132" s="5" t="n"/>
      <c r="E132" s="4" t="n"/>
      <c r="F132" s="4" t="n"/>
      <c r="G132" s="4" t="n"/>
      <c r="H132" s="4" t="n"/>
      <c r="I132" s="6">
        <f>IF(A132="","",IF(D132&lt;=C132,1,0))</f>
        <v/>
      </c>
      <c r="J132" s="6">
        <f>IF(A132="","",IF(F132&gt;=E132,1,0))</f>
        <v/>
      </c>
      <c r="K132" s="6">
        <f>IF(A132="","",IF(G132="да",0,1))</f>
        <v/>
      </c>
      <c r="L132" s="6">
        <f>IF(A132="","",I132*J132*K132)</f>
        <v/>
      </c>
    </row>
    <row r="133">
      <c r="A133" s="4" t="n"/>
      <c r="B133" s="4" t="n"/>
      <c r="C133" s="5" t="n"/>
      <c r="D133" s="5" t="n"/>
      <c r="E133" s="4" t="n"/>
      <c r="F133" s="4" t="n"/>
      <c r="G133" s="4" t="n"/>
      <c r="H133" s="4" t="n"/>
      <c r="I133" s="6">
        <f>IF(A133="","",IF(D133&lt;=C133,1,0))</f>
        <v/>
      </c>
      <c r="J133" s="6">
        <f>IF(A133="","",IF(F133&gt;=E133,1,0))</f>
        <v/>
      </c>
      <c r="K133" s="6">
        <f>IF(A133="","",IF(G133="да",0,1))</f>
        <v/>
      </c>
      <c r="L133" s="6">
        <f>IF(A133="","",I133*J133*K133)</f>
        <v/>
      </c>
    </row>
    <row r="134">
      <c r="A134" s="4" t="n"/>
      <c r="B134" s="4" t="n"/>
      <c r="C134" s="5" t="n"/>
      <c r="D134" s="5" t="n"/>
      <c r="E134" s="4" t="n"/>
      <c r="F134" s="4" t="n"/>
      <c r="G134" s="4" t="n"/>
      <c r="H134" s="4" t="n"/>
      <c r="I134" s="6">
        <f>IF(A134="","",IF(D134&lt;=C134,1,0))</f>
        <v/>
      </c>
      <c r="J134" s="6">
        <f>IF(A134="","",IF(F134&gt;=E134,1,0))</f>
        <v/>
      </c>
      <c r="K134" s="6">
        <f>IF(A134="","",IF(G134="да",0,1))</f>
        <v/>
      </c>
      <c r="L134" s="6">
        <f>IF(A134="","",I134*J134*K134)</f>
        <v/>
      </c>
    </row>
    <row r="135">
      <c r="A135" s="4" t="n"/>
      <c r="B135" s="4" t="n"/>
      <c r="C135" s="5" t="n"/>
      <c r="D135" s="5" t="n"/>
      <c r="E135" s="4" t="n"/>
      <c r="F135" s="4" t="n"/>
      <c r="G135" s="4" t="n"/>
      <c r="H135" s="4" t="n"/>
      <c r="I135" s="6">
        <f>IF(A135="","",IF(D135&lt;=C135,1,0))</f>
        <v/>
      </c>
      <c r="J135" s="6">
        <f>IF(A135="","",IF(F135&gt;=E135,1,0))</f>
        <v/>
      </c>
      <c r="K135" s="6">
        <f>IF(A135="","",IF(G135="да",0,1))</f>
        <v/>
      </c>
      <c r="L135" s="6">
        <f>IF(A135="","",I135*J135*K135)</f>
        <v/>
      </c>
    </row>
    <row r="136">
      <c r="A136" s="4" t="n"/>
      <c r="B136" s="4" t="n"/>
      <c r="C136" s="5" t="n"/>
      <c r="D136" s="5" t="n"/>
      <c r="E136" s="4" t="n"/>
      <c r="F136" s="4" t="n"/>
      <c r="G136" s="4" t="n"/>
      <c r="H136" s="4" t="n"/>
      <c r="I136" s="6">
        <f>IF(A136="","",IF(D136&lt;=C136,1,0))</f>
        <v/>
      </c>
      <c r="J136" s="6">
        <f>IF(A136="","",IF(F136&gt;=E136,1,0))</f>
        <v/>
      </c>
      <c r="K136" s="6">
        <f>IF(A136="","",IF(G136="да",0,1))</f>
        <v/>
      </c>
      <c r="L136" s="6">
        <f>IF(A136="","",I136*J136*K136)</f>
        <v/>
      </c>
    </row>
    <row r="137">
      <c r="A137" s="4" t="n"/>
      <c r="B137" s="4" t="n"/>
      <c r="C137" s="5" t="n"/>
      <c r="D137" s="5" t="n"/>
      <c r="E137" s="4" t="n"/>
      <c r="F137" s="4" t="n"/>
      <c r="G137" s="4" t="n"/>
      <c r="H137" s="4" t="n"/>
      <c r="I137" s="6">
        <f>IF(A137="","",IF(D137&lt;=C137,1,0))</f>
        <v/>
      </c>
      <c r="J137" s="6">
        <f>IF(A137="","",IF(F137&gt;=E137,1,0))</f>
        <v/>
      </c>
      <c r="K137" s="6">
        <f>IF(A137="","",IF(G137="да",0,1))</f>
        <v/>
      </c>
      <c r="L137" s="6">
        <f>IF(A137="","",I137*J137*K137)</f>
        <v/>
      </c>
    </row>
    <row r="138">
      <c r="A138" s="4" t="n"/>
      <c r="B138" s="4" t="n"/>
      <c r="C138" s="5" t="n"/>
      <c r="D138" s="5" t="n"/>
      <c r="E138" s="4" t="n"/>
      <c r="F138" s="4" t="n"/>
      <c r="G138" s="4" t="n"/>
      <c r="H138" s="4" t="n"/>
      <c r="I138" s="6">
        <f>IF(A138="","",IF(D138&lt;=C138,1,0))</f>
        <v/>
      </c>
      <c r="J138" s="6">
        <f>IF(A138="","",IF(F138&gt;=E138,1,0))</f>
        <v/>
      </c>
      <c r="K138" s="6">
        <f>IF(A138="","",IF(G138="да",0,1))</f>
        <v/>
      </c>
      <c r="L138" s="6">
        <f>IF(A138="","",I138*J138*K138)</f>
        <v/>
      </c>
    </row>
    <row r="139">
      <c r="A139" s="4" t="n"/>
      <c r="B139" s="4" t="n"/>
      <c r="C139" s="5" t="n"/>
      <c r="D139" s="5" t="n"/>
      <c r="E139" s="4" t="n"/>
      <c r="F139" s="4" t="n"/>
      <c r="G139" s="4" t="n"/>
      <c r="H139" s="4" t="n"/>
      <c r="I139" s="6">
        <f>IF(A139="","",IF(D139&lt;=C139,1,0))</f>
        <v/>
      </c>
      <c r="J139" s="6">
        <f>IF(A139="","",IF(F139&gt;=E139,1,0))</f>
        <v/>
      </c>
      <c r="K139" s="6">
        <f>IF(A139="","",IF(G139="да",0,1))</f>
        <v/>
      </c>
      <c r="L139" s="6">
        <f>IF(A139="","",I139*J139*K139)</f>
        <v/>
      </c>
    </row>
    <row r="140">
      <c r="A140" s="4" t="n"/>
      <c r="B140" s="4" t="n"/>
      <c r="C140" s="5" t="n"/>
      <c r="D140" s="5" t="n"/>
      <c r="E140" s="4" t="n"/>
      <c r="F140" s="4" t="n"/>
      <c r="G140" s="4" t="n"/>
      <c r="H140" s="4" t="n"/>
      <c r="I140" s="6">
        <f>IF(A140="","",IF(D140&lt;=C140,1,0))</f>
        <v/>
      </c>
      <c r="J140" s="6">
        <f>IF(A140="","",IF(F140&gt;=E140,1,0))</f>
        <v/>
      </c>
      <c r="K140" s="6">
        <f>IF(A140="","",IF(G140="да",0,1))</f>
        <v/>
      </c>
      <c r="L140" s="6">
        <f>IF(A140="","",I140*J140*K140)</f>
        <v/>
      </c>
    </row>
    <row r="141">
      <c r="A141" s="4" t="n"/>
      <c r="B141" s="4" t="n"/>
      <c r="C141" s="5" t="n"/>
      <c r="D141" s="5" t="n"/>
      <c r="E141" s="4" t="n"/>
      <c r="F141" s="4" t="n"/>
      <c r="G141" s="4" t="n"/>
      <c r="H141" s="4" t="n"/>
      <c r="I141" s="6">
        <f>IF(A141="","",IF(D141&lt;=C141,1,0))</f>
        <v/>
      </c>
      <c r="J141" s="6">
        <f>IF(A141="","",IF(F141&gt;=E141,1,0))</f>
        <v/>
      </c>
      <c r="K141" s="6">
        <f>IF(A141="","",IF(G141="да",0,1))</f>
        <v/>
      </c>
      <c r="L141" s="6">
        <f>IF(A141="","",I141*J141*K141)</f>
        <v/>
      </c>
    </row>
    <row r="142">
      <c r="A142" s="4" t="n"/>
      <c r="B142" s="4" t="n"/>
      <c r="C142" s="5" t="n"/>
      <c r="D142" s="5" t="n"/>
      <c r="E142" s="4" t="n"/>
      <c r="F142" s="4" t="n"/>
      <c r="G142" s="4" t="n"/>
      <c r="H142" s="4" t="n"/>
      <c r="I142" s="6">
        <f>IF(A142="","",IF(D142&lt;=C142,1,0))</f>
        <v/>
      </c>
      <c r="J142" s="6">
        <f>IF(A142="","",IF(F142&gt;=E142,1,0))</f>
        <v/>
      </c>
      <c r="K142" s="6">
        <f>IF(A142="","",IF(G142="да",0,1))</f>
        <v/>
      </c>
      <c r="L142" s="6">
        <f>IF(A142="","",I142*J142*K142)</f>
        <v/>
      </c>
    </row>
    <row r="143">
      <c r="A143" s="4" t="n"/>
      <c r="B143" s="4" t="n"/>
      <c r="C143" s="5" t="n"/>
      <c r="D143" s="5" t="n"/>
      <c r="E143" s="4" t="n"/>
      <c r="F143" s="4" t="n"/>
      <c r="G143" s="4" t="n"/>
      <c r="H143" s="4" t="n"/>
      <c r="I143" s="6">
        <f>IF(A143="","",IF(D143&lt;=C143,1,0))</f>
        <v/>
      </c>
      <c r="J143" s="6">
        <f>IF(A143="","",IF(F143&gt;=E143,1,0))</f>
        <v/>
      </c>
      <c r="K143" s="6">
        <f>IF(A143="","",IF(G143="да",0,1))</f>
        <v/>
      </c>
      <c r="L143" s="6">
        <f>IF(A143="","",I143*J143*K143)</f>
        <v/>
      </c>
    </row>
    <row r="144">
      <c r="A144" s="4" t="n"/>
      <c r="B144" s="4" t="n"/>
      <c r="C144" s="5" t="n"/>
      <c r="D144" s="5" t="n"/>
      <c r="E144" s="4" t="n"/>
      <c r="F144" s="4" t="n"/>
      <c r="G144" s="4" t="n"/>
      <c r="H144" s="4" t="n"/>
      <c r="I144" s="6">
        <f>IF(A144="","",IF(D144&lt;=C144,1,0))</f>
        <v/>
      </c>
      <c r="J144" s="6">
        <f>IF(A144="","",IF(F144&gt;=E144,1,0))</f>
        <v/>
      </c>
      <c r="K144" s="6">
        <f>IF(A144="","",IF(G144="да",0,1))</f>
        <v/>
      </c>
      <c r="L144" s="6">
        <f>IF(A144="","",I144*J144*K144)</f>
        <v/>
      </c>
    </row>
    <row r="145">
      <c r="A145" s="4" t="n"/>
      <c r="B145" s="4" t="n"/>
      <c r="C145" s="5" t="n"/>
      <c r="D145" s="5" t="n"/>
      <c r="E145" s="4" t="n"/>
      <c r="F145" s="4" t="n"/>
      <c r="G145" s="4" t="n"/>
      <c r="H145" s="4" t="n"/>
      <c r="I145" s="6">
        <f>IF(A145="","",IF(D145&lt;=C145,1,0))</f>
        <v/>
      </c>
      <c r="J145" s="6">
        <f>IF(A145="","",IF(F145&gt;=E145,1,0))</f>
        <v/>
      </c>
      <c r="K145" s="6">
        <f>IF(A145="","",IF(G145="да",0,1))</f>
        <v/>
      </c>
      <c r="L145" s="6">
        <f>IF(A145="","",I145*J145*K145)</f>
        <v/>
      </c>
    </row>
    <row r="146">
      <c r="A146" s="4" t="n"/>
      <c r="B146" s="4" t="n"/>
      <c r="C146" s="5" t="n"/>
      <c r="D146" s="5" t="n"/>
      <c r="E146" s="4" t="n"/>
      <c r="F146" s="4" t="n"/>
      <c r="G146" s="4" t="n"/>
      <c r="H146" s="4" t="n"/>
      <c r="I146" s="6">
        <f>IF(A146="","",IF(D146&lt;=C146,1,0))</f>
        <v/>
      </c>
      <c r="J146" s="6">
        <f>IF(A146="","",IF(F146&gt;=E146,1,0))</f>
        <v/>
      </c>
      <c r="K146" s="6">
        <f>IF(A146="","",IF(G146="да",0,1))</f>
        <v/>
      </c>
      <c r="L146" s="6">
        <f>IF(A146="","",I146*J146*K146)</f>
        <v/>
      </c>
    </row>
    <row r="147">
      <c r="A147" s="4" t="n"/>
      <c r="B147" s="4" t="n"/>
      <c r="C147" s="5" t="n"/>
      <c r="D147" s="5" t="n"/>
      <c r="E147" s="4" t="n"/>
      <c r="F147" s="4" t="n"/>
      <c r="G147" s="4" t="n"/>
      <c r="H147" s="4" t="n"/>
      <c r="I147" s="6">
        <f>IF(A147="","",IF(D147&lt;=C147,1,0))</f>
        <v/>
      </c>
      <c r="J147" s="6">
        <f>IF(A147="","",IF(F147&gt;=E147,1,0))</f>
        <v/>
      </c>
      <c r="K147" s="6">
        <f>IF(A147="","",IF(G147="да",0,1))</f>
        <v/>
      </c>
      <c r="L147" s="6">
        <f>IF(A147="","",I147*J147*K147)</f>
        <v/>
      </c>
    </row>
    <row r="148">
      <c r="A148" s="4" t="n"/>
      <c r="B148" s="4" t="n"/>
      <c r="C148" s="5" t="n"/>
      <c r="D148" s="5" t="n"/>
      <c r="E148" s="4" t="n"/>
      <c r="F148" s="4" t="n"/>
      <c r="G148" s="4" t="n"/>
      <c r="H148" s="4" t="n"/>
      <c r="I148" s="6">
        <f>IF(A148="","",IF(D148&lt;=C148,1,0))</f>
        <v/>
      </c>
      <c r="J148" s="6">
        <f>IF(A148="","",IF(F148&gt;=E148,1,0))</f>
        <v/>
      </c>
      <c r="K148" s="6">
        <f>IF(A148="","",IF(G148="да",0,1))</f>
        <v/>
      </c>
      <c r="L148" s="6">
        <f>IF(A148="","",I148*J148*K148)</f>
        <v/>
      </c>
    </row>
    <row r="149">
      <c r="A149" s="4" t="n"/>
      <c r="B149" s="4" t="n"/>
      <c r="C149" s="5" t="n"/>
      <c r="D149" s="5" t="n"/>
      <c r="E149" s="4" t="n"/>
      <c r="F149" s="4" t="n"/>
      <c r="G149" s="4" t="n"/>
      <c r="H149" s="4" t="n"/>
      <c r="I149" s="6">
        <f>IF(A149="","",IF(D149&lt;=C149,1,0))</f>
        <v/>
      </c>
      <c r="J149" s="6">
        <f>IF(A149="","",IF(F149&gt;=E149,1,0))</f>
        <v/>
      </c>
      <c r="K149" s="6">
        <f>IF(A149="","",IF(G149="да",0,1))</f>
        <v/>
      </c>
      <c r="L149" s="6">
        <f>IF(A149="","",I149*J149*K149)</f>
        <v/>
      </c>
    </row>
    <row r="150">
      <c r="A150" s="4" t="n"/>
      <c r="B150" s="4" t="n"/>
      <c r="C150" s="5" t="n"/>
      <c r="D150" s="5" t="n"/>
      <c r="E150" s="4" t="n"/>
      <c r="F150" s="4" t="n"/>
      <c r="G150" s="4" t="n"/>
      <c r="H150" s="4" t="n"/>
      <c r="I150" s="6">
        <f>IF(A150="","",IF(D150&lt;=C150,1,0))</f>
        <v/>
      </c>
      <c r="J150" s="6">
        <f>IF(A150="","",IF(F150&gt;=E150,1,0))</f>
        <v/>
      </c>
      <c r="K150" s="6">
        <f>IF(A150="","",IF(G150="да",0,1))</f>
        <v/>
      </c>
      <c r="L150" s="6">
        <f>IF(A150="","",I150*J150*K150)</f>
        <v/>
      </c>
    </row>
    <row r="151">
      <c r="A151" s="4" t="n"/>
      <c r="B151" s="4" t="n"/>
      <c r="C151" s="5" t="n"/>
      <c r="D151" s="5" t="n"/>
      <c r="E151" s="4" t="n"/>
      <c r="F151" s="4" t="n"/>
      <c r="G151" s="4" t="n"/>
      <c r="H151" s="4" t="n"/>
      <c r="I151" s="6">
        <f>IF(A151="","",IF(D151&lt;=C151,1,0))</f>
        <v/>
      </c>
      <c r="J151" s="6">
        <f>IF(A151="","",IF(F151&gt;=E151,1,0))</f>
        <v/>
      </c>
      <c r="K151" s="6">
        <f>IF(A151="","",IF(G151="да",0,1))</f>
        <v/>
      </c>
      <c r="L151" s="6">
        <f>IF(A151="","",I151*J151*K151)</f>
        <v/>
      </c>
    </row>
    <row r="152">
      <c r="A152" s="4" t="n"/>
      <c r="B152" s="4" t="n"/>
      <c r="C152" s="5" t="n"/>
      <c r="D152" s="5" t="n"/>
      <c r="E152" s="4" t="n"/>
      <c r="F152" s="4" t="n"/>
      <c r="G152" s="4" t="n"/>
      <c r="H152" s="4" t="n"/>
      <c r="I152" s="6">
        <f>IF(A152="","",IF(D152&lt;=C152,1,0))</f>
        <v/>
      </c>
      <c r="J152" s="6">
        <f>IF(A152="","",IF(F152&gt;=E152,1,0))</f>
        <v/>
      </c>
      <c r="K152" s="6">
        <f>IF(A152="","",IF(G152="да",0,1))</f>
        <v/>
      </c>
      <c r="L152" s="6">
        <f>IF(A152="","",I152*J152*K152)</f>
        <v/>
      </c>
    </row>
    <row r="153">
      <c r="A153" s="4" t="n"/>
      <c r="B153" s="4" t="n"/>
      <c r="C153" s="5" t="n"/>
      <c r="D153" s="5" t="n"/>
      <c r="E153" s="4" t="n"/>
      <c r="F153" s="4" t="n"/>
      <c r="G153" s="4" t="n"/>
      <c r="H153" s="4" t="n"/>
      <c r="I153" s="6">
        <f>IF(A153="","",IF(D153&lt;=C153,1,0))</f>
        <v/>
      </c>
      <c r="J153" s="6">
        <f>IF(A153="","",IF(F153&gt;=E153,1,0))</f>
        <v/>
      </c>
      <c r="K153" s="6">
        <f>IF(A153="","",IF(G153="да",0,1))</f>
        <v/>
      </c>
      <c r="L153" s="6">
        <f>IF(A153="","",I153*J153*K153)</f>
        <v/>
      </c>
    </row>
    <row r="154">
      <c r="A154" s="4" t="n"/>
      <c r="B154" s="4" t="n"/>
      <c r="C154" s="5" t="n"/>
      <c r="D154" s="5" t="n"/>
      <c r="E154" s="4" t="n"/>
      <c r="F154" s="4" t="n"/>
      <c r="G154" s="4" t="n"/>
      <c r="H154" s="4" t="n"/>
      <c r="I154" s="6">
        <f>IF(A154="","",IF(D154&lt;=C154,1,0))</f>
        <v/>
      </c>
      <c r="J154" s="6">
        <f>IF(A154="","",IF(F154&gt;=E154,1,0))</f>
        <v/>
      </c>
      <c r="K154" s="6">
        <f>IF(A154="","",IF(G154="да",0,1))</f>
        <v/>
      </c>
      <c r="L154" s="6">
        <f>IF(A154="","",I154*J154*K154)</f>
        <v/>
      </c>
    </row>
    <row r="155">
      <c r="A155" s="4" t="n"/>
      <c r="B155" s="4" t="n"/>
      <c r="C155" s="5" t="n"/>
      <c r="D155" s="5" t="n"/>
      <c r="E155" s="4" t="n"/>
      <c r="F155" s="4" t="n"/>
      <c r="G155" s="4" t="n"/>
      <c r="H155" s="4" t="n"/>
      <c r="I155" s="6">
        <f>IF(A155="","",IF(D155&lt;=C155,1,0))</f>
        <v/>
      </c>
      <c r="J155" s="6">
        <f>IF(A155="","",IF(F155&gt;=E155,1,0))</f>
        <v/>
      </c>
      <c r="K155" s="6">
        <f>IF(A155="","",IF(G155="да",0,1))</f>
        <v/>
      </c>
      <c r="L155" s="6">
        <f>IF(A155="","",I155*J155*K155)</f>
        <v/>
      </c>
    </row>
    <row r="156">
      <c r="A156" s="4" t="n"/>
      <c r="B156" s="4" t="n"/>
      <c r="C156" s="5" t="n"/>
      <c r="D156" s="5" t="n"/>
      <c r="E156" s="4" t="n"/>
      <c r="F156" s="4" t="n"/>
      <c r="G156" s="4" t="n"/>
      <c r="H156" s="4" t="n"/>
      <c r="I156" s="6">
        <f>IF(A156="","",IF(D156&lt;=C156,1,0))</f>
        <v/>
      </c>
      <c r="J156" s="6">
        <f>IF(A156="","",IF(F156&gt;=E156,1,0))</f>
        <v/>
      </c>
      <c r="K156" s="6">
        <f>IF(A156="","",IF(G156="да",0,1))</f>
        <v/>
      </c>
      <c r="L156" s="6">
        <f>IF(A156="","",I156*J156*K156)</f>
        <v/>
      </c>
    </row>
    <row r="157">
      <c r="A157" s="4" t="n"/>
      <c r="B157" s="4" t="n"/>
      <c r="C157" s="5" t="n"/>
      <c r="D157" s="5" t="n"/>
      <c r="E157" s="4" t="n"/>
      <c r="F157" s="4" t="n"/>
      <c r="G157" s="4" t="n"/>
      <c r="H157" s="4" t="n"/>
      <c r="I157" s="6">
        <f>IF(A157="","",IF(D157&lt;=C157,1,0))</f>
        <v/>
      </c>
      <c r="J157" s="6">
        <f>IF(A157="","",IF(F157&gt;=E157,1,0))</f>
        <v/>
      </c>
      <c r="K157" s="6">
        <f>IF(A157="","",IF(G157="да",0,1))</f>
        <v/>
      </c>
      <c r="L157" s="6">
        <f>IF(A157="","",I157*J157*K157)</f>
        <v/>
      </c>
    </row>
    <row r="158">
      <c r="A158" s="4" t="n"/>
      <c r="B158" s="4" t="n"/>
      <c r="C158" s="5" t="n"/>
      <c r="D158" s="5" t="n"/>
      <c r="E158" s="4" t="n"/>
      <c r="F158" s="4" t="n"/>
      <c r="G158" s="4" t="n"/>
      <c r="H158" s="4" t="n"/>
      <c r="I158" s="6">
        <f>IF(A158="","",IF(D158&lt;=C158,1,0))</f>
        <v/>
      </c>
      <c r="J158" s="6">
        <f>IF(A158="","",IF(F158&gt;=E158,1,0))</f>
        <v/>
      </c>
      <c r="K158" s="6">
        <f>IF(A158="","",IF(G158="да",0,1))</f>
        <v/>
      </c>
      <c r="L158" s="6">
        <f>IF(A158="","",I158*J158*K158)</f>
        <v/>
      </c>
    </row>
    <row r="159">
      <c r="A159" s="4" t="n"/>
      <c r="B159" s="4" t="n"/>
      <c r="C159" s="5" t="n"/>
      <c r="D159" s="5" t="n"/>
      <c r="E159" s="4" t="n"/>
      <c r="F159" s="4" t="n"/>
      <c r="G159" s="4" t="n"/>
      <c r="H159" s="4" t="n"/>
      <c r="I159" s="6">
        <f>IF(A159="","",IF(D159&lt;=C159,1,0))</f>
        <v/>
      </c>
      <c r="J159" s="6">
        <f>IF(A159="","",IF(F159&gt;=E159,1,0))</f>
        <v/>
      </c>
      <c r="K159" s="6">
        <f>IF(A159="","",IF(G159="да",0,1))</f>
        <v/>
      </c>
      <c r="L159" s="6">
        <f>IF(A159="","",I159*J159*K159)</f>
        <v/>
      </c>
    </row>
    <row r="160">
      <c r="A160" s="4" t="n"/>
      <c r="B160" s="4" t="n"/>
      <c r="C160" s="5" t="n"/>
      <c r="D160" s="5" t="n"/>
      <c r="E160" s="4" t="n"/>
      <c r="F160" s="4" t="n"/>
      <c r="G160" s="4" t="n"/>
      <c r="H160" s="4" t="n"/>
      <c r="I160" s="6">
        <f>IF(A160="","",IF(D160&lt;=C160,1,0))</f>
        <v/>
      </c>
      <c r="J160" s="6">
        <f>IF(A160="","",IF(F160&gt;=E160,1,0))</f>
        <v/>
      </c>
      <c r="K160" s="6">
        <f>IF(A160="","",IF(G160="да",0,1))</f>
        <v/>
      </c>
      <c r="L160" s="6">
        <f>IF(A160="","",I160*J160*K160)</f>
        <v/>
      </c>
    </row>
    <row r="161">
      <c r="A161" s="4" t="n"/>
      <c r="B161" s="4" t="n"/>
      <c r="C161" s="5" t="n"/>
      <c r="D161" s="5" t="n"/>
      <c r="E161" s="4" t="n"/>
      <c r="F161" s="4" t="n"/>
      <c r="G161" s="4" t="n"/>
      <c r="H161" s="4" t="n"/>
      <c r="I161" s="6">
        <f>IF(A161="","",IF(D161&lt;=C161,1,0))</f>
        <v/>
      </c>
      <c r="J161" s="6">
        <f>IF(A161="","",IF(F161&gt;=E161,1,0))</f>
        <v/>
      </c>
      <c r="K161" s="6">
        <f>IF(A161="","",IF(G161="да",0,1))</f>
        <v/>
      </c>
      <c r="L161" s="6">
        <f>IF(A161="","",I161*J161*K161)</f>
        <v/>
      </c>
    </row>
    <row r="162">
      <c r="A162" s="4" t="n"/>
      <c r="B162" s="4" t="n"/>
      <c r="C162" s="5" t="n"/>
      <c r="D162" s="5" t="n"/>
      <c r="E162" s="4" t="n"/>
      <c r="F162" s="4" t="n"/>
      <c r="G162" s="4" t="n"/>
      <c r="H162" s="4" t="n"/>
      <c r="I162" s="6">
        <f>IF(A162="","",IF(D162&lt;=C162,1,0))</f>
        <v/>
      </c>
      <c r="J162" s="6">
        <f>IF(A162="","",IF(F162&gt;=E162,1,0))</f>
        <v/>
      </c>
      <c r="K162" s="6">
        <f>IF(A162="","",IF(G162="да",0,1))</f>
        <v/>
      </c>
      <c r="L162" s="6">
        <f>IF(A162="","",I162*J162*K162)</f>
        <v/>
      </c>
    </row>
    <row r="163">
      <c r="A163" s="4" t="n"/>
      <c r="B163" s="4" t="n"/>
      <c r="C163" s="5" t="n"/>
      <c r="D163" s="5" t="n"/>
      <c r="E163" s="4" t="n"/>
      <c r="F163" s="4" t="n"/>
      <c r="G163" s="4" t="n"/>
      <c r="H163" s="4" t="n"/>
      <c r="I163" s="6">
        <f>IF(A163="","",IF(D163&lt;=C163,1,0))</f>
        <v/>
      </c>
      <c r="J163" s="6">
        <f>IF(A163="","",IF(F163&gt;=E163,1,0))</f>
        <v/>
      </c>
      <c r="K163" s="6">
        <f>IF(A163="","",IF(G163="да",0,1))</f>
        <v/>
      </c>
      <c r="L163" s="6">
        <f>IF(A163="","",I163*J163*K163)</f>
        <v/>
      </c>
    </row>
    <row r="164">
      <c r="A164" s="4" t="n"/>
      <c r="B164" s="4" t="n"/>
      <c r="C164" s="5" t="n"/>
      <c r="D164" s="5" t="n"/>
      <c r="E164" s="4" t="n"/>
      <c r="F164" s="4" t="n"/>
      <c r="G164" s="4" t="n"/>
      <c r="H164" s="4" t="n"/>
      <c r="I164" s="6">
        <f>IF(A164="","",IF(D164&lt;=C164,1,0))</f>
        <v/>
      </c>
      <c r="J164" s="6">
        <f>IF(A164="","",IF(F164&gt;=E164,1,0))</f>
        <v/>
      </c>
      <c r="K164" s="6">
        <f>IF(A164="","",IF(G164="да",0,1))</f>
        <v/>
      </c>
      <c r="L164" s="6">
        <f>IF(A164="","",I164*J164*K164)</f>
        <v/>
      </c>
    </row>
    <row r="165">
      <c r="A165" s="4" t="n"/>
      <c r="B165" s="4" t="n"/>
      <c r="C165" s="5" t="n"/>
      <c r="D165" s="5" t="n"/>
      <c r="E165" s="4" t="n"/>
      <c r="F165" s="4" t="n"/>
      <c r="G165" s="4" t="n"/>
      <c r="H165" s="4" t="n"/>
      <c r="I165" s="6">
        <f>IF(A165="","",IF(D165&lt;=C165,1,0))</f>
        <v/>
      </c>
      <c r="J165" s="6">
        <f>IF(A165="","",IF(F165&gt;=E165,1,0))</f>
        <v/>
      </c>
      <c r="K165" s="6">
        <f>IF(A165="","",IF(G165="да",0,1))</f>
        <v/>
      </c>
      <c r="L165" s="6">
        <f>IF(A165="","",I165*J165*K165)</f>
        <v/>
      </c>
    </row>
    <row r="166">
      <c r="A166" s="4" t="n"/>
      <c r="B166" s="4" t="n"/>
      <c r="C166" s="5" t="n"/>
      <c r="D166" s="5" t="n"/>
      <c r="E166" s="4" t="n"/>
      <c r="F166" s="4" t="n"/>
      <c r="G166" s="4" t="n"/>
      <c r="H166" s="4" t="n"/>
      <c r="I166" s="6">
        <f>IF(A166="","",IF(D166&lt;=C166,1,0))</f>
        <v/>
      </c>
      <c r="J166" s="6">
        <f>IF(A166="","",IF(F166&gt;=E166,1,0))</f>
        <v/>
      </c>
      <c r="K166" s="6">
        <f>IF(A166="","",IF(G166="да",0,1))</f>
        <v/>
      </c>
      <c r="L166" s="6">
        <f>IF(A166="","",I166*J166*K166)</f>
        <v/>
      </c>
    </row>
    <row r="167">
      <c r="A167" s="4" t="n"/>
      <c r="B167" s="4" t="n"/>
      <c r="C167" s="5" t="n"/>
      <c r="D167" s="5" t="n"/>
      <c r="E167" s="4" t="n"/>
      <c r="F167" s="4" t="n"/>
      <c r="G167" s="4" t="n"/>
      <c r="H167" s="4" t="n"/>
      <c r="I167" s="6">
        <f>IF(A167="","",IF(D167&lt;=C167,1,0))</f>
        <v/>
      </c>
      <c r="J167" s="6">
        <f>IF(A167="","",IF(F167&gt;=E167,1,0))</f>
        <v/>
      </c>
      <c r="K167" s="6">
        <f>IF(A167="","",IF(G167="да",0,1))</f>
        <v/>
      </c>
      <c r="L167" s="6">
        <f>IF(A167="","",I167*J167*K167)</f>
        <v/>
      </c>
    </row>
    <row r="168">
      <c r="A168" s="4" t="n"/>
      <c r="B168" s="4" t="n"/>
      <c r="C168" s="5" t="n"/>
      <c r="D168" s="5" t="n"/>
      <c r="E168" s="4" t="n"/>
      <c r="F168" s="4" t="n"/>
      <c r="G168" s="4" t="n"/>
      <c r="H168" s="4" t="n"/>
      <c r="I168" s="6">
        <f>IF(A168="","",IF(D168&lt;=C168,1,0))</f>
        <v/>
      </c>
      <c r="J168" s="6">
        <f>IF(A168="","",IF(F168&gt;=E168,1,0))</f>
        <v/>
      </c>
      <c r="K168" s="6">
        <f>IF(A168="","",IF(G168="да",0,1))</f>
        <v/>
      </c>
      <c r="L168" s="6">
        <f>IF(A168="","",I168*J168*K168)</f>
        <v/>
      </c>
    </row>
    <row r="169">
      <c r="A169" s="4" t="n"/>
      <c r="B169" s="4" t="n"/>
      <c r="C169" s="5" t="n"/>
      <c r="D169" s="5" t="n"/>
      <c r="E169" s="4" t="n"/>
      <c r="F169" s="4" t="n"/>
      <c r="G169" s="4" t="n"/>
      <c r="H169" s="4" t="n"/>
      <c r="I169" s="6">
        <f>IF(A169="","",IF(D169&lt;=C169,1,0))</f>
        <v/>
      </c>
      <c r="J169" s="6">
        <f>IF(A169="","",IF(F169&gt;=E169,1,0))</f>
        <v/>
      </c>
      <c r="K169" s="6">
        <f>IF(A169="","",IF(G169="да",0,1))</f>
        <v/>
      </c>
      <c r="L169" s="6">
        <f>IF(A169="","",I169*J169*K169)</f>
        <v/>
      </c>
    </row>
    <row r="170">
      <c r="A170" s="4" t="n"/>
      <c r="B170" s="4" t="n"/>
      <c r="C170" s="5" t="n"/>
      <c r="D170" s="5" t="n"/>
      <c r="E170" s="4" t="n"/>
      <c r="F170" s="4" t="n"/>
      <c r="G170" s="4" t="n"/>
      <c r="H170" s="4" t="n"/>
      <c r="I170" s="6">
        <f>IF(A170="","",IF(D170&lt;=C170,1,0))</f>
        <v/>
      </c>
      <c r="J170" s="6">
        <f>IF(A170="","",IF(F170&gt;=E170,1,0))</f>
        <v/>
      </c>
      <c r="K170" s="6">
        <f>IF(A170="","",IF(G170="да",0,1))</f>
        <v/>
      </c>
      <c r="L170" s="6">
        <f>IF(A170="","",I170*J170*K170)</f>
        <v/>
      </c>
    </row>
    <row r="171">
      <c r="A171" s="4" t="n"/>
      <c r="B171" s="4" t="n"/>
      <c r="C171" s="5" t="n"/>
      <c r="D171" s="5" t="n"/>
      <c r="E171" s="4" t="n"/>
      <c r="F171" s="4" t="n"/>
      <c r="G171" s="4" t="n"/>
      <c r="H171" s="4" t="n"/>
      <c r="I171" s="6">
        <f>IF(A171="","",IF(D171&lt;=C171,1,0))</f>
        <v/>
      </c>
      <c r="J171" s="6">
        <f>IF(A171="","",IF(F171&gt;=E171,1,0))</f>
        <v/>
      </c>
      <c r="K171" s="6">
        <f>IF(A171="","",IF(G171="да",0,1))</f>
        <v/>
      </c>
      <c r="L171" s="6">
        <f>IF(A171="","",I171*J171*K171)</f>
        <v/>
      </c>
    </row>
    <row r="172">
      <c r="A172" s="4" t="n"/>
      <c r="B172" s="4" t="n"/>
      <c r="C172" s="5" t="n"/>
      <c r="D172" s="5" t="n"/>
      <c r="E172" s="4" t="n"/>
      <c r="F172" s="4" t="n"/>
      <c r="G172" s="4" t="n"/>
      <c r="H172" s="4" t="n"/>
      <c r="I172" s="6">
        <f>IF(A172="","",IF(D172&lt;=C172,1,0))</f>
        <v/>
      </c>
      <c r="J172" s="6">
        <f>IF(A172="","",IF(F172&gt;=E172,1,0))</f>
        <v/>
      </c>
      <c r="K172" s="6">
        <f>IF(A172="","",IF(G172="да",0,1))</f>
        <v/>
      </c>
      <c r="L172" s="6">
        <f>IF(A172="","",I172*J172*K172)</f>
        <v/>
      </c>
    </row>
    <row r="173">
      <c r="A173" s="4" t="n"/>
      <c r="B173" s="4" t="n"/>
      <c r="C173" s="5" t="n"/>
      <c r="D173" s="5" t="n"/>
      <c r="E173" s="4" t="n"/>
      <c r="F173" s="4" t="n"/>
      <c r="G173" s="4" t="n"/>
      <c r="H173" s="4" t="n"/>
      <c r="I173" s="6">
        <f>IF(A173="","",IF(D173&lt;=C173,1,0))</f>
        <v/>
      </c>
      <c r="J173" s="6">
        <f>IF(A173="","",IF(F173&gt;=E173,1,0))</f>
        <v/>
      </c>
      <c r="K173" s="6">
        <f>IF(A173="","",IF(G173="да",0,1))</f>
        <v/>
      </c>
      <c r="L173" s="6">
        <f>IF(A173="","",I173*J173*K173)</f>
        <v/>
      </c>
    </row>
    <row r="174">
      <c r="A174" s="4" t="n"/>
      <c r="B174" s="4" t="n"/>
      <c r="C174" s="5" t="n"/>
      <c r="D174" s="5" t="n"/>
      <c r="E174" s="4" t="n"/>
      <c r="F174" s="4" t="n"/>
      <c r="G174" s="4" t="n"/>
      <c r="H174" s="4" t="n"/>
      <c r="I174" s="6">
        <f>IF(A174="","",IF(D174&lt;=C174,1,0))</f>
        <v/>
      </c>
      <c r="J174" s="6">
        <f>IF(A174="","",IF(F174&gt;=E174,1,0))</f>
        <v/>
      </c>
      <c r="K174" s="6">
        <f>IF(A174="","",IF(G174="да",0,1))</f>
        <v/>
      </c>
      <c r="L174" s="6">
        <f>IF(A174="","",I174*J174*K174)</f>
        <v/>
      </c>
    </row>
    <row r="175">
      <c r="A175" s="4" t="n"/>
      <c r="B175" s="4" t="n"/>
      <c r="C175" s="5" t="n"/>
      <c r="D175" s="5" t="n"/>
      <c r="E175" s="4" t="n"/>
      <c r="F175" s="4" t="n"/>
      <c r="G175" s="4" t="n"/>
      <c r="H175" s="4" t="n"/>
      <c r="I175" s="6">
        <f>IF(A175="","",IF(D175&lt;=C175,1,0))</f>
        <v/>
      </c>
      <c r="J175" s="6">
        <f>IF(A175="","",IF(F175&gt;=E175,1,0))</f>
        <v/>
      </c>
      <c r="K175" s="6">
        <f>IF(A175="","",IF(G175="да",0,1))</f>
        <v/>
      </c>
      <c r="L175" s="6">
        <f>IF(A175="","",I175*J175*K175)</f>
        <v/>
      </c>
    </row>
    <row r="176">
      <c r="A176" s="4" t="n"/>
      <c r="B176" s="4" t="n"/>
      <c r="C176" s="5" t="n"/>
      <c r="D176" s="5" t="n"/>
      <c r="E176" s="4" t="n"/>
      <c r="F176" s="4" t="n"/>
      <c r="G176" s="4" t="n"/>
      <c r="H176" s="4" t="n"/>
      <c r="I176" s="6">
        <f>IF(A176="","",IF(D176&lt;=C176,1,0))</f>
        <v/>
      </c>
      <c r="J176" s="6">
        <f>IF(A176="","",IF(F176&gt;=E176,1,0))</f>
        <v/>
      </c>
      <c r="K176" s="6">
        <f>IF(A176="","",IF(G176="да",0,1))</f>
        <v/>
      </c>
      <c r="L176" s="6">
        <f>IF(A176="","",I176*J176*K176)</f>
        <v/>
      </c>
    </row>
    <row r="177">
      <c r="A177" s="4" t="n"/>
      <c r="B177" s="4" t="n"/>
      <c r="C177" s="5" t="n"/>
      <c r="D177" s="5" t="n"/>
      <c r="E177" s="4" t="n"/>
      <c r="F177" s="4" t="n"/>
      <c r="G177" s="4" t="n"/>
      <c r="H177" s="4" t="n"/>
      <c r="I177" s="6">
        <f>IF(A177="","",IF(D177&lt;=C177,1,0))</f>
        <v/>
      </c>
      <c r="J177" s="6">
        <f>IF(A177="","",IF(F177&gt;=E177,1,0))</f>
        <v/>
      </c>
      <c r="K177" s="6">
        <f>IF(A177="","",IF(G177="да",0,1))</f>
        <v/>
      </c>
      <c r="L177" s="6">
        <f>IF(A177="","",I177*J177*K177)</f>
        <v/>
      </c>
    </row>
    <row r="178">
      <c r="A178" s="4" t="n"/>
      <c r="B178" s="4" t="n"/>
      <c r="C178" s="5" t="n"/>
      <c r="D178" s="5" t="n"/>
      <c r="E178" s="4" t="n"/>
      <c r="F178" s="4" t="n"/>
      <c r="G178" s="4" t="n"/>
      <c r="H178" s="4" t="n"/>
      <c r="I178" s="6">
        <f>IF(A178="","",IF(D178&lt;=C178,1,0))</f>
        <v/>
      </c>
      <c r="J178" s="6">
        <f>IF(A178="","",IF(F178&gt;=E178,1,0))</f>
        <v/>
      </c>
      <c r="K178" s="6">
        <f>IF(A178="","",IF(G178="да",0,1))</f>
        <v/>
      </c>
      <c r="L178" s="6">
        <f>IF(A178="","",I178*J178*K178)</f>
        <v/>
      </c>
    </row>
    <row r="179">
      <c r="A179" s="4" t="n"/>
      <c r="B179" s="4" t="n"/>
      <c r="C179" s="5" t="n"/>
      <c r="D179" s="5" t="n"/>
      <c r="E179" s="4" t="n"/>
      <c r="F179" s="4" t="n"/>
      <c r="G179" s="4" t="n"/>
      <c r="H179" s="4" t="n"/>
      <c r="I179" s="6">
        <f>IF(A179="","",IF(D179&lt;=C179,1,0))</f>
        <v/>
      </c>
      <c r="J179" s="6">
        <f>IF(A179="","",IF(F179&gt;=E179,1,0))</f>
        <v/>
      </c>
      <c r="K179" s="6">
        <f>IF(A179="","",IF(G179="да",0,1))</f>
        <v/>
      </c>
      <c r="L179" s="6">
        <f>IF(A179="","",I179*J179*K179)</f>
        <v/>
      </c>
    </row>
    <row r="180">
      <c r="A180" s="4" t="n"/>
      <c r="B180" s="4" t="n"/>
      <c r="C180" s="5" t="n"/>
      <c r="D180" s="5" t="n"/>
      <c r="E180" s="4" t="n"/>
      <c r="F180" s="4" t="n"/>
      <c r="G180" s="4" t="n"/>
      <c r="H180" s="4" t="n"/>
      <c r="I180" s="6">
        <f>IF(A180="","",IF(D180&lt;=C180,1,0))</f>
        <v/>
      </c>
      <c r="J180" s="6">
        <f>IF(A180="","",IF(F180&gt;=E180,1,0))</f>
        <v/>
      </c>
      <c r="K180" s="6">
        <f>IF(A180="","",IF(G180="да",0,1))</f>
        <v/>
      </c>
      <c r="L180" s="6">
        <f>IF(A180="","",I180*J180*K180)</f>
        <v/>
      </c>
    </row>
    <row r="181">
      <c r="A181" s="4" t="n"/>
      <c r="B181" s="4" t="n"/>
      <c r="C181" s="5" t="n"/>
      <c r="D181" s="5" t="n"/>
      <c r="E181" s="4" t="n"/>
      <c r="F181" s="4" t="n"/>
      <c r="G181" s="4" t="n"/>
      <c r="H181" s="4" t="n"/>
      <c r="I181" s="6">
        <f>IF(A181="","",IF(D181&lt;=C181,1,0))</f>
        <v/>
      </c>
      <c r="J181" s="6">
        <f>IF(A181="","",IF(F181&gt;=E181,1,0))</f>
        <v/>
      </c>
      <c r="K181" s="6">
        <f>IF(A181="","",IF(G181="да",0,1))</f>
        <v/>
      </c>
      <c r="L181" s="6">
        <f>IF(A181="","",I181*J181*K181)</f>
        <v/>
      </c>
    </row>
    <row r="182">
      <c r="A182" s="4" t="n"/>
      <c r="B182" s="4" t="n"/>
      <c r="C182" s="5" t="n"/>
      <c r="D182" s="5" t="n"/>
      <c r="E182" s="4" t="n"/>
      <c r="F182" s="4" t="n"/>
      <c r="G182" s="4" t="n"/>
      <c r="H182" s="4" t="n"/>
      <c r="I182" s="6">
        <f>IF(A182="","",IF(D182&lt;=C182,1,0))</f>
        <v/>
      </c>
      <c r="J182" s="6">
        <f>IF(A182="","",IF(F182&gt;=E182,1,0))</f>
        <v/>
      </c>
      <c r="K182" s="6">
        <f>IF(A182="","",IF(G182="да",0,1))</f>
        <v/>
      </c>
      <c r="L182" s="6">
        <f>IF(A182="","",I182*J182*K182)</f>
        <v/>
      </c>
    </row>
    <row r="183">
      <c r="A183" s="4" t="n"/>
      <c r="B183" s="4" t="n"/>
      <c r="C183" s="5" t="n"/>
      <c r="D183" s="5" t="n"/>
      <c r="E183" s="4" t="n"/>
      <c r="F183" s="4" t="n"/>
      <c r="G183" s="4" t="n"/>
      <c r="H183" s="4" t="n"/>
      <c r="I183" s="6">
        <f>IF(A183="","",IF(D183&lt;=C183,1,0))</f>
        <v/>
      </c>
      <c r="J183" s="6">
        <f>IF(A183="","",IF(F183&gt;=E183,1,0))</f>
        <v/>
      </c>
      <c r="K183" s="6">
        <f>IF(A183="","",IF(G183="да",0,1))</f>
        <v/>
      </c>
      <c r="L183" s="6">
        <f>IF(A183="","",I183*J183*K183)</f>
        <v/>
      </c>
    </row>
    <row r="184">
      <c r="A184" s="4" t="n"/>
      <c r="B184" s="4" t="n"/>
      <c r="C184" s="5" t="n"/>
      <c r="D184" s="5" t="n"/>
      <c r="E184" s="4" t="n"/>
      <c r="F184" s="4" t="n"/>
      <c r="G184" s="4" t="n"/>
      <c r="H184" s="4" t="n"/>
      <c r="I184" s="6">
        <f>IF(A184="","",IF(D184&lt;=C184,1,0))</f>
        <v/>
      </c>
      <c r="J184" s="6">
        <f>IF(A184="","",IF(F184&gt;=E184,1,0))</f>
        <v/>
      </c>
      <c r="K184" s="6">
        <f>IF(A184="","",IF(G184="да",0,1))</f>
        <v/>
      </c>
      <c r="L184" s="6">
        <f>IF(A184="","",I184*J184*K184)</f>
        <v/>
      </c>
    </row>
    <row r="185">
      <c r="A185" s="4" t="n"/>
      <c r="B185" s="4" t="n"/>
      <c r="C185" s="5" t="n"/>
      <c r="D185" s="5" t="n"/>
      <c r="E185" s="4" t="n"/>
      <c r="F185" s="4" t="n"/>
      <c r="G185" s="4" t="n"/>
      <c r="H185" s="4" t="n"/>
      <c r="I185" s="6">
        <f>IF(A185="","",IF(D185&lt;=C185,1,0))</f>
        <v/>
      </c>
      <c r="J185" s="6">
        <f>IF(A185="","",IF(F185&gt;=E185,1,0))</f>
        <v/>
      </c>
      <c r="K185" s="6">
        <f>IF(A185="","",IF(G185="да",0,1))</f>
        <v/>
      </c>
      <c r="L185" s="6">
        <f>IF(A185="","",I185*J185*K185)</f>
        <v/>
      </c>
    </row>
    <row r="186">
      <c r="A186" s="4" t="n"/>
      <c r="B186" s="4" t="n"/>
      <c r="C186" s="5" t="n"/>
      <c r="D186" s="5" t="n"/>
      <c r="E186" s="4" t="n"/>
      <c r="F186" s="4" t="n"/>
      <c r="G186" s="4" t="n"/>
      <c r="H186" s="4" t="n"/>
      <c r="I186" s="6">
        <f>IF(A186="","",IF(D186&lt;=C186,1,0))</f>
        <v/>
      </c>
      <c r="J186" s="6">
        <f>IF(A186="","",IF(F186&gt;=E186,1,0))</f>
        <v/>
      </c>
      <c r="K186" s="6">
        <f>IF(A186="","",IF(G186="да",0,1))</f>
        <v/>
      </c>
      <c r="L186" s="6">
        <f>IF(A186="","",I186*J186*K186)</f>
        <v/>
      </c>
    </row>
    <row r="187">
      <c r="A187" s="4" t="n"/>
      <c r="B187" s="4" t="n"/>
      <c r="C187" s="5" t="n"/>
      <c r="D187" s="5" t="n"/>
      <c r="E187" s="4" t="n"/>
      <c r="F187" s="4" t="n"/>
      <c r="G187" s="4" t="n"/>
      <c r="H187" s="4" t="n"/>
      <c r="I187" s="6">
        <f>IF(A187="","",IF(D187&lt;=C187,1,0))</f>
        <v/>
      </c>
      <c r="J187" s="6">
        <f>IF(A187="","",IF(F187&gt;=E187,1,0))</f>
        <v/>
      </c>
      <c r="K187" s="6">
        <f>IF(A187="","",IF(G187="да",0,1))</f>
        <v/>
      </c>
      <c r="L187" s="6">
        <f>IF(A187="","",I187*J187*K187)</f>
        <v/>
      </c>
    </row>
    <row r="188">
      <c r="A188" s="4" t="n"/>
      <c r="B188" s="4" t="n"/>
      <c r="C188" s="5" t="n"/>
      <c r="D188" s="5" t="n"/>
      <c r="E188" s="4" t="n"/>
      <c r="F188" s="4" t="n"/>
      <c r="G188" s="4" t="n"/>
      <c r="H188" s="4" t="n"/>
      <c r="I188" s="6">
        <f>IF(A188="","",IF(D188&lt;=C188,1,0))</f>
        <v/>
      </c>
      <c r="J188" s="6">
        <f>IF(A188="","",IF(F188&gt;=E188,1,0))</f>
        <v/>
      </c>
      <c r="K188" s="6">
        <f>IF(A188="","",IF(G188="да",0,1))</f>
        <v/>
      </c>
      <c r="L188" s="6">
        <f>IF(A188="","",I188*J188*K188)</f>
        <v/>
      </c>
    </row>
    <row r="189">
      <c r="A189" s="4" t="n"/>
      <c r="B189" s="4" t="n"/>
      <c r="C189" s="5" t="n"/>
      <c r="D189" s="5" t="n"/>
      <c r="E189" s="4" t="n"/>
      <c r="F189" s="4" t="n"/>
      <c r="G189" s="4" t="n"/>
      <c r="H189" s="4" t="n"/>
      <c r="I189" s="6">
        <f>IF(A189="","",IF(D189&lt;=C189,1,0))</f>
        <v/>
      </c>
      <c r="J189" s="6">
        <f>IF(A189="","",IF(F189&gt;=E189,1,0))</f>
        <v/>
      </c>
      <c r="K189" s="6">
        <f>IF(A189="","",IF(G189="да",0,1))</f>
        <v/>
      </c>
      <c r="L189" s="6">
        <f>IF(A189="","",I189*J189*K189)</f>
        <v/>
      </c>
    </row>
    <row r="190">
      <c r="A190" s="4" t="n"/>
      <c r="B190" s="4" t="n"/>
      <c r="C190" s="5" t="n"/>
      <c r="D190" s="5" t="n"/>
      <c r="E190" s="4" t="n"/>
      <c r="F190" s="4" t="n"/>
      <c r="G190" s="4" t="n"/>
      <c r="H190" s="4" t="n"/>
      <c r="I190" s="6">
        <f>IF(A190="","",IF(D190&lt;=C190,1,0))</f>
        <v/>
      </c>
      <c r="J190" s="6">
        <f>IF(A190="","",IF(F190&gt;=E190,1,0))</f>
        <v/>
      </c>
      <c r="K190" s="6">
        <f>IF(A190="","",IF(G190="да",0,1))</f>
        <v/>
      </c>
      <c r="L190" s="6">
        <f>IF(A190="","",I190*J190*K190)</f>
        <v/>
      </c>
    </row>
    <row r="191">
      <c r="A191" s="4" t="n"/>
      <c r="B191" s="4" t="n"/>
      <c r="C191" s="5" t="n"/>
      <c r="D191" s="5" t="n"/>
      <c r="E191" s="4" t="n"/>
      <c r="F191" s="4" t="n"/>
      <c r="G191" s="4" t="n"/>
      <c r="H191" s="4" t="n"/>
      <c r="I191" s="6">
        <f>IF(A191="","",IF(D191&lt;=C191,1,0))</f>
        <v/>
      </c>
      <c r="J191" s="6">
        <f>IF(A191="","",IF(F191&gt;=E191,1,0))</f>
        <v/>
      </c>
      <c r="K191" s="6">
        <f>IF(A191="","",IF(G191="да",0,1))</f>
        <v/>
      </c>
      <c r="L191" s="6">
        <f>IF(A191="","",I191*J191*K191)</f>
        <v/>
      </c>
    </row>
    <row r="192">
      <c r="A192" s="4" t="n"/>
      <c r="B192" s="4" t="n"/>
      <c r="C192" s="5" t="n"/>
      <c r="D192" s="5" t="n"/>
      <c r="E192" s="4" t="n"/>
      <c r="F192" s="4" t="n"/>
      <c r="G192" s="4" t="n"/>
      <c r="H192" s="4" t="n"/>
      <c r="I192" s="6">
        <f>IF(A192="","",IF(D192&lt;=C192,1,0))</f>
        <v/>
      </c>
      <c r="J192" s="6">
        <f>IF(A192="","",IF(F192&gt;=E192,1,0))</f>
        <v/>
      </c>
      <c r="K192" s="6">
        <f>IF(A192="","",IF(G192="да",0,1))</f>
        <v/>
      </c>
      <c r="L192" s="6">
        <f>IF(A192="","",I192*J192*K192)</f>
        <v/>
      </c>
    </row>
    <row r="193">
      <c r="A193" s="4" t="n"/>
      <c r="B193" s="4" t="n"/>
      <c r="C193" s="5" t="n"/>
      <c r="D193" s="5" t="n"/>
      <c r="E193" s="4" t="n"/>
      <c r="F193" s="4" t="n"/>
      <c r="G193" s="4" t="n"/>
      <c r="H193" s="4" t="n"/>
      <c r="I193" s="6">
        <f>IF(A193="","",IF(D193&lt;=C193,1,0))</f>
        <v/>
      </c>
      <c r="J193" s="6">
        <f>IF(A193="","",IF(F193&gt;=E193,1,0))</f>
        <v/>
      </c>
      <c r="K193" s="6">
        <f>IF(A193="","",IF(G193="да",0,1))</f>
        <v/>
      </c>
      <c r="L193" s="6">
        <f>IF(A193="","",I193*J193*K193)</f>
        <v/>
      </c>
    </row>
    <row r="194">
      <c r="A194" s="4" t="n"/>
      <c r="B194" s="4" t="n"/>
      <c r="C194" s="5" t="n"/>
      <c r="D194" s="5" t="n"/>
      <c r="E194" s="4" t="n"/>
      <c r="F194" s="4" t="n"/>
      <c r="G194" s="4" t="n"/>
      <c r="H194" s="4" t="n"/>
      <c r="I194" s="6">
        <f>IF(A194="","",IF(D194&lt;=C194,1,0))</f>
        <v/>
      </c>
      <c r="J194" s="6">
        <f>IF(A194="","",IF(F194&gt;=E194,1,0))</f>
        <v/>
      </c>
      <c r="K194" s="6">
        <f>IF(A194="","",IF(G194="да",0,1))</f>
        <v/>
      </c>
      <c r="L194" s="6">
        <f>IF(A194="","",I194*J194*K194)</f>
        <v/>
      </c>
    </row>
    <row r="195">
      <c r="A195" s="4" t="n"/>
      <c r="B195" s="4" t="n"/>
      <c r="C195" s="5" t="n"/>
      <c r="D195" s="5" t="n"/>
      <c r="E195" s="4" t="n"/>
      <c r="F195" s="4" t="n"/>
      <c r="G195" s="4" t="n"/>
      <c r="H195" s="4" t="n"/>
      <c r="I195" s="6">
        <f>IF(A195="","",IF(D195&lt;=C195,1,0))</f>
        <v/>
      </c>
      <c r="J195" s="6">
        <f>IF(A195="","",IF(F195&gt;=E195,1,0))</f>
        <v/>
      </c>
      <c r="K195" s="6">
        <f>IF(A195="","",IF(G195="да",0,1))</f>
        <v/>
      </c>
      <c r="L195" s="6">
        <f>IF(A195="","",I195*J195*K195)</f>
        <v/>
      </c>
    </row>
    <row r="196">
      <c r="A196" s="4" t="n"/>
      <c r="B196" s="4" t="n"/>
      <c r="C196" s="5" t="n"/>
      <c r="D196" s="5" t="n"/>
      <c r="E196" s="4" t="n"/>
      <c r="F196" s="4" t="n"/>
      <c r="G196" s="4" t="n"/>
      <c r="H196" s="4" t="n"/>
      <c r="I196" s="6">
        <f>IF(A196="","",IF(D196&lt;=C196,1,0))</f>
        <v/>
      </c>
      <c r="J196" s="6">
        <f>IF(A196="","",IF(F196&gt;=E196,1,0))</f>
        <v/>
      </c>
      <c r="K196" s="6">
        <f>IF(A196="","",IF(G196="да",0,1))</f>
        <v/>
      </c>
      <c r="L196" s="6">
        <f>IF(A196="","",I196*J196*K196)</f>
        <v/>
      </c>
    </row>
    <row r="197">
      <c r="A197" s="4" t="n"/>
      <c r="B197" s="4" t="n"/>
      <c r="C197" s="5" t="n"/>
      <c r="D197" s="5" t="n"/>
      <c r="E197" s="4" t="n"/>
      <c r="F197" s="4" t="n"/>
      <c r="G197" s="4" t="n"/>
      <c r="H197" s="4" t="n"/>
      <c r="I197" s="6">
        <f>IF(A197="","",IF(D197&lt;=C197,1,0))</f>
        <v/>
      </c>
      <c r="J197" s="6">
        <f>IF(A197="","",IF(F197&gt;=E197,1,0))</f>
        <v/>
      </c>
      <c r="K197" s="6">
        <f>IF(A197="","",IF(G197="да",0,1))</f>
        <v/>
      </c>
      <c r="L197" s="6">
        <f>IF(A197="","",I197*J197*K197)</f>
        <v/>
      </c>
    </row>
    <row r="198">
      <c r="A198" s="4" t="n"/>
      <c r="B198" s="4" t="n"/>
      <c r="C198" s="5" t="n"/>
      <c r="D198" s="5" t="n"/>
      <c r="E198" s="4" t="n"/>
      <c r="F198" s="4" t="n"/>
      <c r="G198" s="4" t="n"/>
      <c r="H198" s="4" t="n"/>
      <c r="I198" s="6">
        <f>IF(A198="","",IF(D198&lt;=C198,1,0))</f>
        <v/>
      </c>
      <c r="J198" s="6">
        <f>IF(A198="","",IF(F198&gt;=E198,1,0))</f>
        <v/>
      </c>
      <c r="K198" s="6">
        <f>IF(A198="","",IF(G198="да",0,1))</f>
        <v/>
      </c>
      <c r="L198" s="6">
        <f>IF(A198="","",I198*J198*K198)</f>
        <v/>
      </c>
    </row>
    <row r="199">
      <c r="A199" s="4" t="n"/>
      <c r="B199" s="4" t="n"/>
      <c r="C199" s="5" t="n"/>
      <c r="D199" s="5" t="n"/>
      <c r="E199" s="4" t="n"/>
      <c r="F199" s="4" t="n"/>
      <c r="G199" s="4" t="n"/>
      <c r="H199" s="4" t="n"/>
      <c r="I199" s="6">
        <f>IF(A199="","",IF(D199&lt;=C199,1,0))</f>
        <v/>
      </c>
      <c r="J199" s="6">
        <f>IF(A199="","",IF(F199&gt;=E199,1,0))</f>
        <v/>
      </c>
      <c r="K199" s="6">
        <f>IF(A199="","",IF(G199="да",0,1))</f>
        <v/>
      </c>
      <c r="L199" s="6">
        <f>IF(A199="","",I199*J199*K199)</f>
        <v/>
      </c>
    </row>
    <row r="200">
      <c r="A200" s="4" t="n"/>
      <c r="B200" s="4" t="n"/>
      <c r="C200" s="5" t="n"/>
      <c r="D200" s="5" t="n"/>
      <c r="E200" s="4" t="n"/>
      <c r="F200" s="4" t="n"/>
      <c r="G200" s="4" t="n"/>
      <c r="H200" s="4" t="n"/>
      <c r="I200" s="6">
        <f>IF(A200="","",IF(D200&lt;=C200,1,0))</f>
        <v/>
      </c>
      <c r="J200" s="6">
        <f>IF(A200="","",IF(F200&gt;=E200,1,0))</f>
        <v/>
      </c>
      <c r="K200" s="6">
        <f>IF(A200="","",IF(G200="да",0,1))</f>
        <v/>
      </c>
      <c r="L200" s="6">
        <f>IF(A200="","",I200*J200*K200)</f>
        <v/>
      </c>
    </row>
    <row r="201">
      <c r="A201" s="4" t="n"/>
      <c r="B201" s="4" t="n"/>
      <c r="C201" s="5" t="n"/>
      <c r="D201" s="5" t="n"/>
      <c r="E201" s="4" t="n"/>
      <c r="F201" s="4" t="n"/>
      <c r="G201" s="4" t="n"/>
      <c r="H201" s="4" t="n"/>
      <c r="I201" s="6">
        <f>IF(A201="","",IF(D201&lt;=C201,1,0))</f>
        <v/>
      </c>
      <c r="J201" s="6">
        <f>IF(A201="","",IF(F201&gt;=E201,1,0))</f>
        <v/>
      </c>
      <c r="K201" s="6">
        <f>IF(A201="","",IF(G201="да",0,1))</f>
        <v/>
      </c>
      <c r="L201" s="6">
        <f>IF(A201="","",I201*J201*K201)</f>
        <v/>
      </c>
    </row>
    <row r="202">
      <c r="A202" s="4" t="n"/>
      <c r="B202" s="4" t="n"/>
      <c r="C202" s="5" t="n"/>
      <c r="D202" s="5" t="n"/>
      <c r="E202" s="4" t="n"/>
      <c r="F202" s="4" t="n"/>
      <c r="G202" s="4" t="n"/>
      <c r="H202" s="4" t="n"/>
      <c r="I202" s="6">
        <f>IF(A202="","",IF(D202&lt;=C202,1,0))</f>
        <v/>
      </c>
      <c r="J202" s="6">
        <f>IF(A202="","",IF(F202&gt;=E202,1,0))</f>
        <v/>
      </c>
      <c r="K202" s="6">
        <f>IF(A202="","",IF(G202="да",0,1))</f>
        <v/>
      </c>
      <c r="L202" s="6">
        <f>IF(A202="","",I202*J202*K202)</f>
        <v/>
      </c>
    </row>
    <row r="203">
      <c r="A203" s="4" t="n"/>
      <c r="B203" s="4" t="n"/>
      <c r="C203" s="5" t="n"/>
      <c r="D203" s="5" t="n"/>
      <c r="E203" s="4" t="n"/>
      <c r="F203" s="4" t="n"/>
      <c r="G203" s="4" t="n"/>
      <c r="H203" s="4" t="n"/>
      <c r="I203" s="6">
        <f>IF(A203="","",IF(D203&lt;=C203,1,0))</f>
        <v/>
      </c>
      <c r="J203" s="6">
        <f>IF(A203="","",IF(F203&gt;=E203,1,0))</f>
        <v/>
      </c>
      <c r="K203" s="6">
        <f>IF(A203="","",IF(G203="да",0,1))</f>
        <v/>
      </c>
      <c r="L203" s="6">
        <f>IF(A203="","",I203*J203*K203)</f>
        <v/>
      </c>
    </row>
    <row r="204">
      <c r="A204" s="4" t="n"/>
      <c r="B204" s="4" t="n"/>
      <c r="C204" s="5" t="n"/>
      <c r="D204" s="5" t="n"/>
      <c r="E204" s="4" t="n"/>
      <c r="F204" s="4" t="n"/>
      <c r="G204" s="4" t="n"/>
      <c r="H204" s="4" t="n"/>
      <c r="I204" s="6">
        <f>IF(A204="","",IF(D204&lt;=C204,1,0))</f>
        <v/>
      </c>
      <c r="J204" s="6">
        <f>IF(A204="","",IF(F204&gt;=E204,1,0))</f>
        <v/>
      </c>
      <c r="K204" s="6">
        <f>IF(A204="","",IF(G204="да",0,1))</f>
        <v/>
      </c>
      <c r="L204" s="6">
        <f>IF(A204="","",I204*J204*K204)</f>
        <v/>
      </c>
    </row>
  </sheetData>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showDropDown="0" showInputMessage="0" showErrorMessage="0" allowBlank="1" type="list">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4" customWidth="1" min="2" max="2"/>
  </cols>
  <sheetData>
    <row r="1">
      <c r="A1" s="7" t="inlineStr">
        <is>
          <t>Итог</t>
        </is>
      </c>
    </row>
    <row r="3">
      <c r="A3" t="inlineStr">
        <is>
          <t>Заказов всего</t>
        </is>
      </c>
      <c r="B3">
        <f>COUNT(Заказы!L5:L204)</f>
        <v/>
      </c>
    </row>
    <row r="4">
      <c r="A4" t="inlineStr">
        <is>
          <t>OTIF, %</t>
        </is>
      </c>
      <c r="B4" s="8">
        <f>IFERROR(SUM(Заказы!L5:L204)/COUNT(Заказы!L5:L204),"")</f>
        <v/>
      </c>
    </row>
    <row r="5">
      <c r="A5" t="inlineStr">
        <is>
          <t>OTIF онлайн, %</t>
        </is>
      </c>
      <c r="B5" s="8">
        <f>IFERROR(SUMIFS(Заказы!L5:L204,Заказы!B5:B204,"онлайн")/COUNTIFS(Заказы!B5:B204,"онлайн",Заказы!L5:L204,"&gt;=0"),"")</f>
        <v/>
      </c>
    </row>
    <row r="6">
      <c r="A6" t="inlineStr">
        <is>
          <t>OTIF офлайн, %</t>
        </is>
      </c>
      <c r="B6" s="8">
        <f>IFERROR(SUMIFS(Заказы!L5:L204,Заказы!B5:B204,"офлайн")/COUNTIFS(Заказы!B5:B204,"офлайн",Заказы!L5:L204,"&gt;=0"),"")</f>
        <v/>
      </c>
    </row>
    <row r="7">
      <c r="A7" t="inlineStr"/>
      <c r="B7" t="inlineStr"/>
    </row>
    <row r="8">
      <c r="A8" s="9" t="inlineStr">
        <is>
          <t>Потери по источникам (сорванных заказов)</t>
        </is>
      </c>
      <c r="B8" t="inlineStr"/>
    </row>
    <row r="9">
      <c r="A9" t="inlineStr">
        <is>
          <t>транспорт</t>
        </is>
      </c>
      <c r="B9">
        <f>COUNTIFS(Заказы!H5:H204,"транспорт*")</f>
        <v/>
      </c>
    </row>
    <row r="10">
      <c r="A10" t="inlineStr">
        <is>
          <t>офлайн</t>
        </is>
      </c>
      <c r="B10">
        <f>COUNTIFS(Заказы!H5:H204,"офлайн*")</f>
        <v/>
      </c>
    </row>
    <row r="11">
      <c r="A11" t="inlineStr">
        <is>
          <t>сборка</t>
        </is>
      </c>
      <c r="B11">
        <f>COUNTIFS(Заказы!H5:H204,"сборка*")</f>
        <v/>
      </c>
    </row>
    <row r="12">
      <c r="A12" t="inlineStr">
        <is>
          <t>возврат</t>
        </is>
      </c>
      <c r="B12">
        <f>COUNTIFS(Заказы!H5:H204,"возврат*")</f>
        <v/>
      </c>
    </row>
    <row r="15">
      <c r="A15" t="inlineStr">
        <is>
          <t>Причину срыва начинайте словом-источником: «транспорт: …», «офлайн: …», «сборка: …», «возврат: …» — тогда итог посчитается сам.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2026-10-03T13:31:07Z</dcterms:created>
  <dcterms:modified xmlns:dcterms="http://purl.org/dc/terms/" xmlns:xsi="http://www.w3.org/2001/XMLSchema-instance" xsi:type="dcterms:W3CDTF">2026-10-03T13:31:07Z</dcterms:modified>
</cp:coreProperties>
</file>